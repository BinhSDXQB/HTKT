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mc:AlternateContent xmlns:mc="http://schemas.openxmlformats.org/markup-compatibility/2006">
    <mc:Choice Requires="x15">
      <x15ac:absPath xmlns:x15ac="http://schemas.microsoft.com/office/spreadsheetml/2010/11/ac" url="D:\DropBox\Dropbox\Luu_du_lieu\Binh 2026\So lieu HTKT\"/>
    </mc:Choice>
  </mc:AlternateContent>
  <xr:revisionPtr revIDLastSave="0" documentId="13_ncr:1_{90B5F43C-6B28-402E-8E1C-E50B3C49C6B8}" xr6:coauthVersionLast="47" xr6:coauthVersionMax="47" xr10:uidLastSave="{00000000-0000-0000-0000-000000000000}"/>
  <bookViews>
    <workbookView xWindow="-120" yWindow="-120" windowWidth="29040" windowHeight="15720" xr2:uid="{00000000-000D-0000-FFFF-FFFF00000000}"/>
  </bookViews>
  <sheets>
    <sheet name="Đường GT" sheetId="9" r:id="rId1"/>
    <sheet name="Điện chiếu sáng" sheetId="2" r:id="rId2"/>
    <sheet name="Thoát nước mưa và thải" sheetId="3" r:id="rId3"/>
    <sheet name="Cây xanh" sheetId="4" r:id="rId4"/>
    <sheet name="Công viên" sheetId="6" r:id="rId5"/>
    <sheet name="Cấp nước" sheetId="8" r:id="rId6"/>
    <sheet name="Bãi đổ xe" sheetId="10"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2" l="1"/>
  <c r="F9" i="2"/>
  <c r="G9" i="2"/>
  <c r="H9" i="2"/>
  <c r="A4" i="10"/>
  <c r="A5" i="10" s="1"/>
  <c r="A6" i="10" s="1"/>
  <c r="E6" i="9" l="1"/>
  <c r="E14" i="9"/>
  <c r="E5" i="9"/>
  <c r="E4" i="9" s="1"/>
  <c r="E19" i="9"/>
  <c r="A21" i="9"/>
  <c r="A5" i="8"/>
  <c r="A6" i="8" s="1"/>
  <c r="A4" i="6" l="1"/>
  <c r="A5" i="6" s="1"/>
  <c r="A6" i="6" s="1"/>
  <c r="E8" i="4" l="1"/>
  <c r="A4" i="4" l="1"/>
  <c r="A5" i="4" s="1"/>
  <c r="B5" i="4"/>
  <c r="B3" i="4"/>
  <c r="F5" i="3" l="1"/>
  <c r="D9" i="2" l="1"/>
  <c r="A5" i="2"/>
  <c r="A6" i="2" s="1"/>
  <c r="A7" i="2" s="1"/>
  <c r="C9" i="2" l="1"/>
</calcChain>
</file>

<file path=xl/sharedStrings.xml><?xml version="1.0" encoding="utf-8"?>
<sst xmlns="http://schemas.openxmlformats.org/spreadsheetml/2006/main" count="204" uniqueCount="131">
  <si>
    <t>STT</t>
  </si>
  <si>
    <t>Tên đường</t>
  </si>
  <si>
    <t>Điểm đầu 
(Lý trình)</t>
  </si>
  <si>
    <t>Điểm cuối 
(Lý trình)</t>
  </si>
  <si>
    <t>Kết cấu mặt đường</t>
  </si>
  <si>
    <t>Cầu vượt</t>
  </si>
  <si>
    <t>Đường Hàm Nghi</t>
  </si>
  <si>
    <t>I</t>
  </si>
  <si>
    <t>CÁC TUYẾN ĐƯỜNG ĐÃ ĐƯỢC ĐẶT TÊN</t>
  </si>
  <si>
    <t>II</t>
  </si>
  <si>
    <t>III</t>
  </si>
  <si>
    <t>Tuyến đường</t>
  </si>
  <si>
    <t>Chiếu sáng 1 bên/2 bên</t>
  </si>
  <si>
    <t>Năm đầu tư</t>
  </si>
  <si>
    <t xml:space="preserve">Tuyến </t>
  </si>
  <si>
    <t>1 phía/2 phía</t>
  </si>
  <si>
    <t>Năm đưa vào sử dụng</t>
  </si>
  <si>
    <t>Điểm đầu</t>
  </si>
  <si>
    <t>Điểm cuối</t>
  </si>
  <si>
    <t>Nước Thải</t>
  </si>
  <si>
    <t>Nước mưa kết hợp nước thải</t>
  </si>
  <si>
    <t>Chủng loại cây</t>
  </si>
  <si>
    <t>Lê Lợi</t>
  </si>
  <si>
    <t>Đường Lê Lợi</t>
  </si>
  <si>
    <t>Phan Huy Chú</t>
  </si>
  <si>
    <t>Khu dân cư Đặng Dung</t>
  </si>
  <si>
    <t>Khu dân cư Cồn Cỏ</t>
  </si>
  <si>
    <t>Khu đô thị Tân Vĩnh</t>
  </si>
  <si>
    <t>Ghi chú</t>
  </si>
  <si>
    <t>Tổng</t>
  </si>
  <si>
    <t>Chiều dài chiếu sáng (km)</t>
  </si>
  <si>
    <t>Hệ thống thoát nước mưa, nước thải trên địa bàn phường Nam Đông Hà</t>
  </si>
  <si>
    <t>Cồng Lê Duẩn</t>
  </si>
  <si>
    <t>1 phía</t>
  </si>
  <si>
    <t>B500</t>
  </si>
  <si>
    <t>2 phía</t>
  </si>
  <si>
    <t>D800</t>
  </si>
  <si>
    <t>cầu Lai Phước</t>
  </si>
  <si>
    <t>Muồng, phượng, bằng lăng, sao đen, hoa sữa, bàng…</t>
  </si>
  <si>
    <t>Muồng, Lát hoa, Nhội, sao đen, hoa sữa, bằng lăng…</t>
  </si>
  <si>
    <t xml:space="preserve">Tổng </t>
  </si>
  <si>
    <t>BIỂU MẪU 02: TỔNG HỢP HỆ THỐNG ĐIỆN CHIẾU SÁNG ĐÔ THỊ</t>
  </si>
  <si>
    <t>BIỂU MẪU 03: TỔNG HỢP HỆ THỐNG THOÁT NƯỚC</t>
  </si>
  <si>
    <t>Cống tròn/cống hộp/rãnh (kích thước)</t>
  </si>
  <si>
    <t>Nước mưa/nước thải</t>
  </si>
  <si>
    <t>Đường Nguyễn Trãi</t>
  </si>
  <si>
    <t>Giao đường Hùng Vương</t>
  </si>
  <si>
    <t>Giao đường Quốc lộ 9</t>
  </si>
  <si>
    <t>Nước mưa</t>
  </si>
  <si>
    <t>Tổng chiều dài tuyến thoát nước (m)</t>
  </si>
  <si>
    <t>Nước mưa và nước thải</t>
  </si>
  <si>
    <t>D1.000</t>
  </si>
  <si>
    <t>Đường Trần Hưng Đạo</t>
  </si>
  <si>
    <t>Giao đường Lý Thường Kiệt</t>
  </si>
  <si>
    <t>Giao đường Tố Hữu</t>
  </si>
  <si>
    <t>Nước thải</t>
  </si>
  <si>
    <t>Giao đường Phạm Văn Đồng</t>
  </si>
  <si>
    <t>D300</t>
  </si>
  <si>
    <t>Đường Phan Đình Phùng</t>
  </si>
  <si>
    <t>Giao đường Lê Lợi</t>
  </si>
  <si>
    <t>Giao đường Hai Bà Trưng</t>
  </si>
  <si>
    <t>1,8x2,0</t>
  </si>
  <si>
    <t>….</t>
  </si>
  <si>
    <t>…</t>
  </si>
  <si>
    <t>Ví dụ</t>
  </si>
  <si>
    <t>Bê tông nhựa</t>
  </si>
  <si>
    <t>Kiệt 04 Hàm Nghi</t>
  </si>
  <si>
    <t>Kiệt 12 Trần Hưng Đạo</t>
  </si>
  <si>
    <t>Đường Hai Bà Trưng</t>
  </si>
  <si>
    <t>CÁC TUYẾN ĐƯỜNG TRONG CHƯA ĐẶT TÊN (nếu có)</t>
  </si>
  <si>
    <t>Mặt đường</t>
  </si>
  <si>
    <t>Loại đèn</t>
  </si>
  <si>
    <t>BIỂU MẪU 04: TỔNG HỢP HỆ THỐNG CÂY XANH ĐƯỜNG ĐÔ THỊ</t>
  </si>
  <si>
    <t>Số cột đèn toàn tuyến</t>
  </si>
  <si>
    <t>Công suất (W)</t>
  </si>
  <si>
    <t>Vị trí</t>
  </si>
  <si>
    <t>Giao đường Điện Biên Phủ</t>
  </si>
  <si>
    <t>Giáng Hương, Bằng Lăng,..</t>
  </si>
  <si>
    <r>
      <rPr>
        <b/>
        <sz val="14"/>
        <color theme="1"/>
        <rFont val="Times New Roman"/>
        <family val="1"/>
      </rPr>
      <t>Hướng dẫn nhập cơ sở dữ liệu:</t>
    </r>
    <r>
      <rPr>
        <sz val="14"/>
        <color theme="1"/>
        <rFont val="Times New Roman"/>
        <family val="2"/>
      </rPr>
      <t xml:space="preserve">
(1) Tên công viên. VD: Công viên Lê Duẩn, Công viên Bờ Rào,…v.v
(2) Vị trí: Đường, thôn (khu phố, TDP), xã (phường).
(3) Diện tích: Diện tích toàn bộ công viên
(4) Diện tích thảm cỏ: Diện tích phần thảm cỏ trong công viên
(5) Số lượng cây: Số lượng cây xanh trong công viên.
(6) Chủng loại cây: Mô tả các chủng loại cây phổ biến trong công viên.</t>
    </r>
  </si>
  <si>
    <t>VD: Công viên Lê Duẩn</t>
  </si>
  <si>
    <t>Đường Lê Duẩn, khu phố 1, phường Đông Hà</t>
  </si>
  <si>
    <t>Diện tích (m2)</t>
  </si>
  <si>
    <t>Diện tích thảm cỏ (m2)</t>
  </si>
  <si>
    <t>Tên công viên/ quảng trường</t>
  </si>
  <si>
    <t>VD: Công viên B</t>
  </si>
  <si>
    <t>Đường X, Khu phố Y, Xã Z</t>
  </si>
  <si>
    <t>Giáng Hương, bàng Đài Loan,..</t>
  </si>
  <si>
    <t>Hiện trạng sử dụng nước</t>
  </si>
  <si>
    <t>Dự kiến nguồn nước</t>
  </si>
  <si>
    <t>Số lượng cây (cây)</t>
  </si>
  <si>
    <t>BIỂU MẪU 06: ĐỀ XUẤT KHU VỰC NGƯỜI DÂN CÓ NHU CẦU PHÁT TRIỂN CƠ SỞ HẠ TẦNG CẤP NƯỚC SẠCH</t>
  </si>
  <si>
    <t>Địa chỉ</t>
  </si>
  <si>
    <t>Đường X</t>
  </si>
  <si>
    <t>Khu phố Y, Phường Z</t>
  </si>
  <si>
    <t>Giếng khoan</t>
  </si>
  <si>
    <t xml:space="preserve">Nhà máy nước A, Công ty cổ phần cấp nước B </t>
  </si>
  <si>
    <t>Đường A</t>
  </si>
  <si>
    <t>Thôn B, Xã C</t>
  </si>
  <si>
    <t>Giếng khoan, giếng đào</t>
  </si>
  <si>
    <t>Nhà máy nước D, Công ty cổ phần cấp nước E</t>
  </si>
  <si>
    <t>Số hộ gia đình (hộ)</t>
  </si>
  <si>
    <t>BIỂU MẪU 01: TỔNG HỢP ĐƯỜNG GIAO THÔNG ĐÔ THỊ</t>
  </si>
  <si>
    <t>Nền đường</t>
  </si>
  <si>
    <t xml:space="preserve"> </t>
  </si>
  <si>
    <t>Giải phân cách</t>
  </si>
  <si>
    <t>Hè đường (hoặc lề) phải</t>
  </si>
  <si>
    <t>Hè đường (hoặc lề) trái</t>
  </si>
  <si>
    <t>Chiều dài tuyến km)</t>
  </si>
  <si>
    <t>III.1</t>
  </si>
  <si>
    <t>III.2</t>
  </si>
  <si>
    <t>QUỐC LỘ QUA ĐÔ THỊ</t>
  </si>
  <si>
    <t>CÁC TUYẾN ĐƯỜNG CÒN LẠI</t>
  </si>
  <si>
    <t>ĐƯỜNG TỈNH QUA ĐÔ THỊ</t>
  </si>
  <si>
    <t>Quảng Trạch  (Quốc lộ 1A)</t>
  </si>
  <si>
    <t>Bố Trạch  (Quốc lộ 1A)</t>
  </si>
  <si>
    <r>
      <rPr>
        <b/>
        <sz val="14"/>
        <color theme="1"/>
        <rFont val="Times New Roman"/>
        <family val="1"/>
      </rPr>
      <t>Hướng dẫn nhập cơ sở dữ liệu:</t>
    </r>
    <r>
      <rPr>
        <sz val="14"/>
        <color theme="1"/>
        <rFont val="Times New Roman"/>
        <family val="2"/>
      </rPr>
      <t xml:space="preserve">
(1) Tuyến đường: Nhập tên các tuyến đường giao thông có hệ thống chiếu sáng. VD: Đường Lê Duẩn, đường Quốc lộ 9…v.v
(2) Chiều dài tuyến chiếu sáng: Là chiều dài tuyến đường giao thông có hệ thống chiếu sáng đường phố.
(3) Số cột đèn trên tuyến: Số cột đèn chiếu sáng trên tuyến đường giao thông.
(4) Chiều dài: Chiều dài tuyến đường; đơn vị Km, làm tròn 02 chữ số thập phân.
(5) Loại đèn: Chủng loại bóng đèn: LED, Sodium, năng lượng mặt trời (bóng LED)..v.v.
(6) Chiếu sáng 1 bên/2 bên: Mô tả bố trí hệ thống cột đèn chiếu sáng về 1 phía, 2 phía hoặc giữa dãi phân cách đường giao thông.
(7) Năm đầu tư: Năm đưa vào sử dụng hệ thống chiếu sáng (nếu có thông tin)</t>
    </r>
  </si>
  <si>
    <r>
      <rPr>
        <b/>
        <sz val="14"/>
        <color theme="1"/>
        <rFont val="Times New Roman"/>
        <family val="1"/>
      </rPr>
      <t>Hướng dẫn nhập cơ sở dữ liệu:</t>
    </r>
    <r>
      <rPr>
        <sz val="14"/>
        <color theme="1"/>
        <rFont val="Times New Roman"/>
        <family val="2"/>
      </rPr>
      <t xml:space="preserve">
(1) Tuyến: Nhập tên đường giao thông hoặc vị trí có hệ thống thoát nước. VD: Đường Hàm Nghi, đường Lê Lợi…v.v
(2) Điểm đầu: Là điểm đầu tuyến thoát nước.
(3) Điểm cuối: Là điểm cuối tuyến thoát nước
(4) Nước thải/ nước mưa: Điền thông tin nước thải hoặc nước mưa nếu là hệ thống thoát nước riêng. Nếu là cống thoát nước chung thì điền thông tin "Nước thải và nước mưa".
(5) Tổng chiều dài: Tổng chiều dài tuyến đường có bố trí hệ thống thoát nước. Đơn vị là mét. Lưu ý: Nếu đường bố trí hệ thống thoát nước về 2 phía vỉa hè thì vẫn tính chiều dài theo chiều dài tuyến đường (không nhân 02 lần).
(6) 1 phía/2 phía: Điền thông tin đường giao thống có bố trí hệ thống thoát nước dọc 1 phía hoặc 2 phía. 
(7) Thông tin định hình loại cống thoát nước và kích thước cống:
Điền thông tin loại + đường kính như sau:
- Cống tròn: D + đường kính. VD: D400 tương ứng với cống tròn đường kính 400mm; D600 tương ứng với cống tròn đường kính 600mm.
- Cống hộp: 0,8x1,0m; 1,0x1,0m;,...
- Rãnh thoát nước: B400 tương ứng với rãnh hình thang, bề rộng bên trong rãnh 400mm, B600 tương ứng với rãnh hình thang, bề rộng bên trong rãnh 600mm.
(8) Năm đưa vào sử dụng: Thông tin năm bàn giao công trình đưa vào sử dụng (nếu có thông tin).</t>
    </r>
  </si>
  <si>
    <r>
      <rPr>
        <b/>
        <sz val="14"/>
        <color theme="1"/>
        <rFont val="Times New Roman"/>
        <family val="1"/>
      </rPr>
      <t>Hướng dẫn nhập cơ sở dữ liệu:</t>
    </r>
    <r>
      <rPr>
        <sz val="14"/>
        <color theme="1"/>
        <rFont val="Times New Roman"/>
        <family val="2"/>
      </rPr>
      <t xml:space="preserve">
(1) Tuyến: Nhập tên đường giao thông có bố trí hệ thống cây xanh đường phố. VD: Đường Hàm Nghi, đường Lê Lợi…v.v
(2) Điểm đầu: Là điểm đầu tuyến đường giao thông có bố trí hệ thống cây xanh đường phố.
(3) Điểm cuối: Là điểm cuối tuyến đường giao thông có bố trí hệ thống cây xanh đường phố.
(4) Số lượng cây: Số lượng cây trồng trên tuyến.
(5) 1 phía/2 phía: Mô tả bố trí cây xanh trên 01 phía vỉa hè hay 02 phía vỉa hè.
(6) Chủng loại cây: Mô tả các chủng loại cây phổ biến trên tuyến (nếu có thông tin).</t>
    </r>
  </si>
  <si>
    <t xml:space="preserve">Chiều rộng hiện trạng (m) </t>
  </si>
  <si>
    <t>Bãi đổ xe</t>
  </si>
  <si>
    <t>Địa điểm</t>
  </si>
  <si>
    <t>VD: Bãi đổ xe công viên Lê Duẩn</t>
  </si>
  <si>
    <t>Số vị trí đỗ</t>
  </si>
  <si>
    <t>Trạm sạch xe điện (Có/Không)</t>
  </si>
  <si>
    <t>Có</t>
  </si>
  <si>
    <t>Không</t>
  </si>
  <si>
    <t>VD: Bãi đổ xe công viên B</t>
  </si>
  <si>
    <r>
      <rPr>
        <b/>
        <sz val="14"/>
        <color theme="1"/>
        <rFont val="Times New Roman"/>
        <family val="1"/>
      </rPr>
      <t>Hướng dẫn nhập cơ sở dữ liệu:</t>
    </r>
    <r>
      <rPr>
        <sz val="14"/>
        <color theme="1"/>
        <rFont val="Times New Roman"/>
        <family val="2"/>
      </rPr>
      <t xml:space="preserve">
(1) Tên, khu vực bãi đổ xe. VD: Bãi đổ xe công viên Lê Duẩn, Bãi đổ xe công viên Bờ Rào,…v.v
(2) Vị trí: Đường, thôn (khu phố, TDP), xã (phường).
(3) Diện tích: Diện tích bãi đổ xe
(4) Số vị trí đổ: Số lượng xe ước tính có thể đỗ
(5) Trạm sạc xe điện: Có bố trí sạc hay điện hoặc không bố trí
</t>
    </r>
  </si>
  <si>
    <t>BIỂU MẪU 05: TỔNG HỢP HỆ THỐNG CÂY XANH CÔNG VIÊN, QUẢNG TRƯỜNG</t>
  </si>
  <si>
    <t>BIỂU MẪU 07: TỔNG HỢP HỆ THỐNG CÂY XANH CÔNG VIÊN, QUẢNG TRƯỜNG</t>
  </si>
  <si>
    <t>Hướng dẫn nhập cơ sở dữ liệu:
(1) Tên tuyến đường chưa có đường ống cấp nước. VD: Đường X, Đường A,…v.v
(2) Địa chỉ: VD: Khu phố Y, phường Z; Thôn B, Xã C.
(3) Số hộ: Số hộ gia đình chưa sử dụng nước sạch từ hệ thống cấp nước tập trung
(4) Hiện trạng sử dụng nước: Giếng khoan, giếng đào, chưa có nước sử dụng.
(5) Dự kiến nguồn nước: Nhà máy nước gần nhất. VD: Nhà máy nước A, Công ty cổ phần cấp nước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</si>
</sst>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quot;Km&quot;0\+000"/>
  </numFmts>
  <fonts count="22" x14ac:knownFonts="1">
    <font>
      <sz val="14"/>
      <color theme="1"/>
      <name val="Times New Roman"/>
      <family val="2"/>
    </font>
    <font>
      <sz val="14"/>
      <color theme="1"/>
      <name val="Times New Roman"/>
      <family val="2"/>
    </font>
    <font>
      <b/>
      <sz val="14"/>
      <color theme="1"/>
      <name val="Times New Roman"/>
      <family val="1"/>
    </font>
    <font>
      <b/>
      <sz val="13"/>
      <color theme="1"/>
      <name val="Times New Roman"/>
      <family val="2"/>
    </font>
    <font>
      <sz val="13"/>
      <color theme="1"/>
      <name val="Times New Roman"/>
      <family val="2"/>
    </font>
    <font>
      <b/>
      <sz val="13"/>
      <name val="Times New Roman"/>
      <family val="2"/>
    </font>
    <font>
      <sz val="13"/>
      <name val="Times New Roman"/>
      <family val="2"/>
    </font>
    <font>
      <sz val="13"/>
      <color rgb="FFFF0000"/>
      <name val="Times New Roman"/>
      <family val="2"/>
    </font>
    <font>
      <b/>
      <sz val="15"/>
      <color theme="1"/>
      <name val="Times New Roman"/>
      <family val="2"/>
    </font>
    <font>
      <b/>
      <sz val="13"/>
      <color rgb="FF0000FF"/>
      <name val="Times New Roman"/>
      <family val="2"/>
    </font>
    <font>
      <sz val="13"/>
      <name val="Times New Roman"/>
      <family val="1"/>
    </font>
    <font>
      <b/>
      <sz val="15"/>
      <color theme="1"/>
      <name val="Times New Roman"/>
      <family val="1"/>
    </font>
    <font>
      <sz val="13"/>
      <color rgb="FF0000FF"/>
      <name val="Times New Roman"/>
      <family val="2"/>
    </font>
    <font>
      <b/>
      <sz val="11"/>
      <color theme="1"/>
      <name val="Times New Roman"/>
      <family val="1"/>
    </font>
    <font>
      <sz val="14"/>
      <color theme="1"/>
      <name val="Times New Roman"/>
      <family val="1"/>
    </font>
    <font>
      <sz val="14"/>
      <color rgb="FFFF0000"/>
      <name val="Times New Roman"/>
      <family val="1"/>
    </font>
    <font>
      <i/>
      <sz val="14"/>
      <color rgb="FFFF0000"/>
      <name val="Times New Roman"/>
      <family val="1"/>
    </font>
    <font>
      <b/>
      <i/>
      <sz val="14"/>
      <color rgb="FFFF0000"/>
      <name val="Times New Roman"/>
      <family val="1"/>
    </font>
    <font>
      <b/>
      <sz val="14"/>
      <color rgb="FFFF0000"/>
      <name val="Times New Roman"/>
      <family val="1"/>
    </font>
    <font>
      <b/>
      <sz val="13"/>
      <color rgb="FFFF0000"/>
      <name val="Times New Roman"/>
      <family val="1"/>
    </font>
    <font>
      <sz val="14"/>
      <name val="Times New Roman"/>
      <family val="2"/>
    </font>
    <font>
      <sz val="14"/>
      <color indexed="8"/>
      <name val="Times New Roman"/>
      <family val="2"/>
    </font>
  </fonts>
  <fills count="3">
    <fill>
      <patternFill patternType="none"/>
    </fill>
    <fill>
      <patternFill patternType="gray125"/>
    </fill>
    <fill>
      <patternFill patternType="solid">
        <fgColor rgb="FF00B0F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s>
  <cellStyleXfs count="2">
    <xf numFmtId="0" fontId="0" fillId="0" borderId="0"/>
    <xf numFmtId="43" fontId="1" fillId="0" borderId="0" applyFont="0" applyFill="0" applyBorder="0" applyAlignment="0" applyProtection="0"/>
  </cellStyleXfs>
  <cellXfs count="112">
    <xf numFmtId="0" fontId="0" fillId="0" borderId="0" xfId="0"/>
    <xf numFmtId="0" fontId="6" fillId="0" borderId="1" xfId="0" applyFont="1" applyBorder="1" applyAlignment="1">
      <alignment horizontal="left" vertical="center" wrapText="1"/>
    </xf>
    <xf numFmtId="43" fontId="6" fillId="0" borderId="1" xfId="1" applyFont="1" applyBorder="1" applyAlignment="1">
      <alignment horizontal="left" vertical="center" wrapText="1"/>
    </xf>
    <xf numFmtId="43" fontId="6" fillId="0" borderId="1" xfId="1" applyFont="1" applyFill="1" applyBorder="1" applyAlignment="1">
      <alignment horizontal="left" vertical="center" wrapText="1"/>
    </xf>
    <xf numFmtId="0" fontId="4" fillId="0" borderId="1" xfId="0" applyFont="1" applyBorder="1" applyAlignment="1">
      <alignment horizontal="left" vertical="center" wrapText="1"/>
    </xf>
    <xf numFmtId="0" fontId="6" fillId="0" borderId="1" xfId="0" applyFont="1" applyBorder="1" applyAlignment="1">
      <alignment horizontal="justify" vertical="center" wrapText="1"/>
    </xf>
    <xf numFmtId="2" fontId="5"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43" fontId="5" fillId="0" borderId="1" xfId="1" applyFont="1" applyBorder="1" applyAlignment="1">
      <alignment horizontal="left" vertical="center" wrapText="1"/>
    </xf>
    <xf numFmtId="0" fontId="0" fillId="0" borderId="1" xfId="0" applyBorder="1"/>
    <xf numFmtId="0" fontId="0" fillId="0" borderId="1" xfId="0" applyBorder="1" applyAlignment="1">
      <alignment horizontal="center"/>
    </xf>
    <xf numFmtId="0" fontId="0" fillId="0" borderId="0" xfId="0" applyAlignment="1">
      <alignment horizontal="center"/>
    </xf>
    <xf numFmtId="0" fontId="4" fillId="0" borderId="0" xfId="0" applyFont="1" applyAlignment="1">
      <alignment horizontal="left" vertical="center"/>
    </xf>
    <xf numFmtId="43" fontId="5" fillId="2" borderId="1" xfId="1" applyFont="1" applyFill="1" applyBorder="1" applyAlignment="1">
      <alignment horizontal="center" vertical="center" wrapText="1"/>
    </xf>
    <xf numFmtId="0" fontId="9"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left" vertical="center"/>
    </xf>
    <xf numFmtId="43" fontId="4" fillId="0" borderId="1" xfId="1" applyFont="1" applyBorder="1" applyAlignment="1">
      <alignment horizontal="left" vertical="center"/>
    </xf>
    <xf numFmtId="0" fontId="7" fillId="0" borderId="1" xfId="0" applyFont="1" applyBorder="1" applyAlignment="1">
      <alignment horizontal="justify" vertical="center" wrapText="1"/>
    </xf>
    <xf numFmtId="0" fontId="10" fillId="0" borderId="1" xfId="0" applyFont="1" applyBorder="1" applyAlignment="1">
      <alignment horizontal="justify" vertical="center" wrapText="1"/>
    </xf>
    <xf numFmtId="0" fontId="3" fillId="0" borderId="1" xfId="0" applyFont="1" applyBorder="1" applyAlignment="1">
      <alignment horizontal="center" vertical="center"/>
    </xf>
    <xf numFmtId="43" fontId="3" fillId="0" borderId="1" xfId="1" applyFont="1" applyBorder="1" applyAlignment="1">
      <alignment horizontal="left" vertical="center"/>
    </xf>
    <xf numFmtId="0" fontId="3" fillId="0" borderId="0" xfId="0" applyFont="1" applyAlignment="1">
      <alignment horizontal="left" vertical="center"/>
    </xf>
    <xf numFmtId="0" fontId="4" fillId="0" borderId="0" xfId="0" applyFont="1" applyAlignment="1">
      <alignment horizontal="center" vertical="center"/>
    </xf>
    <xf numFmtId="43" fontId="4" fillId="0" borderId="0" xfId="1" applyFont="1" applyAlignment="1">
      <alignment horizontal="left" vertical="center"/>
    </xf>
    <xf numFmtId="0" fontId="0" fillId="0" borderId="0" xfId="0" applyAlignment="1">
      <alignment vertical="center" wrapText="1"/>
    </xf>
    <xf numFmtId="0" fontId="0" fillId="0" borderId="0" xfId="0" applyAlignment="1">
      <alignment horizontal="center" vertical="center" wrapText="1"/>
    </xf>
    <xf numFmtId="0" fontId="2" fillId="0" borderId="1" xfId="0" applyFont="1" applyBorder="1" applyAlignment="1">
      <alignment horizontal="center" vertical="center" wrapText="1"/>
    </xf>
    <xf numFmtId="0" fontId="2" fillId="0" borderId="0" xfId="0" applyFont="1" applyAlignment="1">
      <alignment vertical="center" wrapText="1"/>
    </xf>
    <xf numFmtId="0" fontId="7" fillId="0" borderId="1" xfId="0" applyFont="1" applyBorder="1" applyAlignment="1">
      <alignment vertical="center" wrapText="1"/>
    </xf>
    <xf numFmtId="43" fontId="7" fillId="0" borderId="1" xfId="0" applyNumberFormat="1" applyFont="1" applyBorder="1" applyAlignment="1">
      <alignment horizontal="center" vertical="center" wrapText="1"/>
    </xf>
    <xf numFmtId="0" fontId="7" fillId="0" borderId="0" xfId="0" applyFont="1" applyAlignment="1">
      <alignment vertical="center" wrapText="1"/>
    </xf>
    <xf numFmtId="0" fontId="12" fillId="0" borderId="1" xfId="0" applyFont="1" applyBorder="1" applyAlignment="1">
      <alignment vertical="center" wrapText="1"/>
    </xf>
    <xf numFmtId="0" fontId="12" fillId="0" borderId="0" xfId="0" applyFont="1" applyAlignment="1">
      <alignment vertical="center" wrapText="1"/>
    </xf>
    <xf numFmtId="0" fontId="4" fillId="0" borderId="1" xfId="0" applyFont="1" applyBorder="1" applyAlignment="1">
      <alignment vertical="center" wrapText="1"/>
    </xf>
    <xf numFmtId="43" fontId="4" fillId="0" borderId="1" xfId="0" applyNumberFormat="1" applyFont="1" applyBorder="1" applyAlignment="1">
      <alignment horizontal="center" vertical="center" wrapText="1"/>
    </xf>
    <xf numFmtId="0" fontId="4" fillId="0" borderId="0" xfId="0" applyFont="1" applyAlignment="1">
      <alignment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2" fillId="0" borderId="0" xfId="0" applyFont="1" applyAlignment="1">
      <alignment horizontal="center" vertical="center" wrapText="1"/>
    </xf>
    <xf numFmtId="43" fontId="13" fillId="0" borderId="1" xfId="0" applyNumberFormat="1" applyFont="1" applyBorder="1" applyAlignment="1">
      <alignment horizontal="center" vertical="center" wrapText="1"/>
    </xf>
    <xf numFmtId="0" fontId="2" fillId="0" borderId="1" xfId="0" applyFont="1" applyBorder="1" applyAlignment="1">
      <alignment horizontal="center" vertical="center"/>
    </xf>
    <xf numFmtId="0" fontId="14" fillId="0" borderId="1" xfId="0" applyFont="1" applyBorder="1" applyAlignment="1">
      <alignment horizontal="center"/>
    </xf>
    <xf numFmtId="0" fontId="14" fillId="0" borderId="1" xfId="0" applyFont="1" applyBorder="1" applyAlignment="1">
      <alignment wrapText="1"/>
    </xf>
    <xf numFmtId="0" fontId="0" fillId="0" borderId="1" xfId="0" applyBorder="1" applyAlignment="1">
      <alignment wrapText="1"/>
    </xf>
    <xf numFmtId="0" fontId="0" fillId="0" borderId="0" xfId="0" applyAlignment="1">
      <alignment wrapText="1"/>
    </xf>
    <xf numFmtId="0" fontId="15" fillId="0" borderId="1" xfId="0" applyFont="1" applyBorder="1" applyAlignment="1">
      <alignment wrapText="1"/>
    </xf>
    <xf numFmtId="0" fontId="16" fillId="0" borderId="1" xfId="0" applyFont="1" applyBorder="1" applyAlignment="1">
      <alignment horizontal="center" wrapText="1"/>
    </xf>
    <xf numFmtId="0" fontId="18" fillId="0" borderId="0" xfId="0" applyFont="1" applyAlignment="1">
      <alignment horizontal="center"/>
    </xf>
    <xf numFmtId="0" fontId="16" fillId="0" borderId="0" xfId="0" applyFont="1" applyAlignment="1">
      <alignment horizontal="center" wrapText="1"/>
    </xf>
    <xf numFmtId="0" fontId="17" fillId="0" borderId="1" xfId="0" applyFont="1" applyBorder="1" applyAlignment="1">
      <alignment horizontal="center" vertical="center" wrapText="1"/>
    </xf>
    <xf numFmtId="0" fontId="18" fillId="0" borderId="1" xfId="0" applyFont="1" applyBorder="1" applyAlignment="1">
      <alignment horizontal="center"/>
    </xf>
    <xf numFmtId="0" fontId="19" fillId="0" borderId="1" xfId="0" applyFont="1" applyBorder="1" applyAlignment="1">
      <alignment horizontal="center" vertical="center" wrapText="1"/>
    </xf>
    <xf numFmtId="0" fontId="18" fillId="0" borderId="1" xfId="0" applyFont="1" applyBorder="1" applyAlignment="1">
      <alignment horizontal="center" wrapText="1"/>
    </xf>
    <xf numFmtId="0" fontId="17" fillId="0" borderId="1" xfId="0" applyFont="1" applyBorder="1" applyAlignment="1">
      <alignment horizontal="center" wrapText="1"/>
    </xf>
    <xf numFmtId="0" fontId="20" fillId="0" borderId="1" xfId="0" applyFont="1" applyBorder="1" applyAlignment="1">
      <alignment horizontal="center"/>
    </xf>
    <xf numFmtId="0" fontId="6" fillId="0" borderId="1" xfId="0" applyFont="1" applyBorder="1" applyAlignment="1">
      <alignment vertical="center" wrapText="1"/>
    </xf>
    <xf numFmtId="3" fontId="21" fillId="0" borderId="1" xfId="0" applyNumberFormat="1" applyFont="1" applyBorder="1" applyAlignment="1">
      <alignment horizontal="center" vertical="center"/>
    </xf>
    <xf numFmtId="0" fontId="0" fillId="0" borderId="1" xfId="0" applyBorder="1" applyAlignment="1">
      <alignment horizontal="center" vertical="center"/>
    </xf>
    <xf numFmtId="0" fontId="20" fillId="0" borderId="1" xfId="0" applyFont="1" applyBorder="1" applyAlignment="1">
      <alignment horizontal="center" vertical="center" wrapText="1"/>
    </xf>
    <xf numFmtId="0" fontId="20" fillId="0" borderId="1" xfId="0" applyFont="1" applyBorder="1" applyAlignment="1">
      <alignment vertical="center" wrapText="1"/>
    </xf>
    <xf numFmtId="0" fontId="20" fillId="0" borderId="1" xfId="0" applyFont="1" applyBorder="1" applyAlignment="1">
      <alignment horizontal="justify" vertical="center" wrapText="1"/>
    </xf>
    <xf numFmtId="0" fontId="0" fillId="0" borderId="1" xfId="0" applyBorder="1" applyAlignment="1">
      <alignment vertical="center"/>
    </xf>
    <xf numFmtId="0" fontId="10" fillId="0" borderId="2" xfId="0" applyFont="1" applyBorder="1" applyAlignment="1">
      <alignment horizontal="justify" vertical="center" wrapText="1"/>
    </xf>
    <xf numFmtId="0" fontId="6" fillId="0" borderId="4" xfId="0" applyFont="1" applyBorder="1" applyAlignment="1">
      <alignment horizontal="justify" vertical="center" wrapText="1"/>
    </xf>
    <xf numFmtId="0" fontId="6" fillId="0" borderId="3" xfId="0" applyFont="1" applyBorder="1" applyAlignment="1">
      <alignment horizontal="justify" vertical="center" wrapText="1"/>
    </xf>
    <xf numFmtId="0" fontId="14" fillId="0" borderId="1" xfId="0" applyFont="1" applyBorder="1" applyAlignment="1">
      <alignment vertical="center"/>
    </xf>
    <xf numFmtId="0" fontId="14" fillId="0" borderId="1" xfId="0" applyFont="1" applyBorder="1" applyAlignment="1">
      <alignment horizontal="center" vertical="center"/>
    </xf>
    <xf numFmtId="0" fontId="14" fillId="0" borderId="1" xfId="0" applyFont="1" applyBorder="1" applyAlignment="1">
      <alignment vertical="center" wrapText="1"/>
    </xf>
    <xf numFmtId="0" fontId="16" fillId="0" borderId="1" xfId="0" applyFont="1" applyBorder="1" applyAlignment="1">
      <alignment horizontal="center" vertical="center" wrapText="1"/>
    </xf>
    <xf numFmtId="3" fontId="6" fillId="0" borderId="1" xfId="0" applyNumberFormat="1" applyFont="1" applyBorder="1" applyAlignment="1">
      <alignment horizontal="justify" vertical="center" wrapText="1"/>
    </xf>
    <xf numFmtId="3" fontId="0" fillId="0" borderId="1" xfId="0" applyNumberFormat="1" applyBorder="1" applyAlignment="1">
      <alignment horizontal="center"/>
    </xf>
    <xf numFmtId="3" fontId="14" fillId="0" borderId="1" xfId="0" applyNumberFormat="1" applyFont="1" applyBorder="1" applyAlignment="1">
      <alignment vertical="center"/>
    </xf>
    <xf numFmtId="3" fontId="14" fillId="0" borderId="1" xfId="0" applyNumberFormat="1" applyFont="1" applyBorder="1" applyAlignment="1">
      <alignment horizontal="center" vertical="center"/>
    </xf>
    <xf numFmtId="3" fontId="0" fillId="0" borderId="1" xfId="0" applyNumberFormat="1" applyBorder="1" applyAlignment="1">
      <alignment horizontal="center" vertical="center"/>
    </xf>
    <xf numFmtId="0" fontId="0" fillId="0" borderId="1" xfId="0" applyBorder="1" applyAlignment="1">
      <alignment vertical="center" wrapText="1"/>
    </xf>
    <xf numFmtId="0" fontId="11" fillId="0" borderId="0" xfId="0" applyFont="1" applyAlignment="1">
      <alignment vertical="center" wrapText="1"/>
    </xf>
    <xf numFmtId="3" fontId="14"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3" fontId="6" fillId="0" borderId="1" xfId="0" applyNumberFormat="1" applyFont="1" applyBorder="1" applyAlignment="1">
      <alignment horizontal="center" vertical="center" wrapText="1"/>
    </xf>
    <xf numFmtId="43" fontId="5" fillId="2" borderId="2" xfId="1" applyFont="1" applyFill="1" applyBorder="1" applyAlignment="1">
      <alignment horizontal="centerContinuous" vertical="center" wrapText="1"/>
    </xf>
    <xf numFmtId="43" fontId="5" fillId="2" borderId="4" xfId="1" applyFont="1" applyFill="1" applyBorder="1" applyAlignment="1">
      <alignment horizontal="centerContinuous" vertical="center" wrapText="1"/>
    </xf>
    <xf numFmtId="0" fontId="9" fillId="0" borderId="2" xfId="0" applyFont="1" applyBorder="1" applyAlignment="1">
      <alignment vertical="center" wrapText="1"/>
    </xf>
    <xf numFmtId="0" fontId="9" fillId="0" borderId="4" xfId="0" applyFont="1" applyBorder="1" applyAlignment="1">
      <alignment vertical="center" wrapText="1"/>
    </xf>
    <xf numFmtId="0" fontId="9" fillId="0" borderId="3" xfId="0" applyFont="1" applyBorder="1" applyAlignment="1">
      <alignment vertical="center" wrapText="1"/>
    </xf>
    <xf numFmtId="43" fontId="4" fillId="0" borderId="0" xfId="0" applyNumberFormat="1" applyFont="1" applyAlignment="1">
      <alignment horizontal="left" vertical="center"/>
    </xf>
    <xf numFmtId="164" fontId="4" fillId="0" borderId="1" xfId="0" applyNumberFormat="1" applyFont="1" applyBorder="1" applyAlignment="1">
      <alignment horizontal="left" vertical="center"/>
    </xf>
    <xf numFmtId="164" fontId="4" fillId="0" borderId="1" xfId="0" applyNumberFormat="1" applyFont="1" applyBorder="1" applyAlignment="1">
      <alignment horizontal="left" vertical="center" wrapText="1"/>
    </xf>
    <xf numFmtId="0" fontId="3" fillId="0" borderId="2" xfId="0" applyFont="1" applyBorder="1" applyAlignment="1">
      <alignment vertical="center"/>
    </xf>
    <xf numFmtId="0" fontId="3" fillId="0" borderId="4" xfId="0" applyFont="1" applyBorder="1" applyAlignment="1">
      <alignment vertical="center" wrapText="1"/>
    </xf>
    <xf numFmtId="0" fontId="3" fillId="0" borderId="3" xfId="0" applyFont="1" applyBorder="1" applyAlignment="1">
      <alignment vertical="center" wrapText="1"/>
    </xf>
    <xf numFmtId="0" fontId="4" fillId="0" borderId="5" xfId="0" applyFont="1" applyBorder="1" applyAlignment="1">
      <alignment vertical="center"/>
    </xf>
    <xf numFmtId="0" fontId="4" fillId="0" borderId="5" xfId="0" applyFont="1" applyBorder="1" applyAlignment="1">
      <alignment vertical="center" wrapText="1"/>
    </xf>
    <xf numFmtId="3" fontId="6" fillId="0" borderId="1" xfId="0" applyNumberFormat="1" applyFont="1" applyBorder="1" applyAlignment="1">
      <alignment horizontal="right" vertical="center" wrapText="1"/>
    </xf>
    <xf numFmtId="0" fontId="8" fillId="0" borderId="0" xfId="0" applyFont="1" applyAlignment="1">
      <alignment horizontal="center" vertical="center"/>
    </xf>
    <xf numFmtId="2" fontId="5" fillId="2" borderId="1" xfId="0" applyNumberFormat="1" applyFont="1" applyFill="1" applyBorder="1" applyAlignment="1">
      <alignment horizontal="center" vertical="center" wrapText="1"/>
    </xf>
    <xf numFmtId="0" fontId="5" fillId="0" borderId="2" xfId="0" applyFont="1" applyBorder="1" applyAlignment="1">
      <alignment horizontal="left" vertical="center" wrapText="1"/>
    </xf>
    <xf numFmtId="0" fontId="5" fillId="0" borderId="4" xfId="0" applyFont="1" applyBorder="1" applyAlignment="1">
      <alignment horizontal="left" vertical="center" wrapText="1"/>
    </xf>
    <xf numFmtId="0" fontId="5" fillId="0" borderId="3" xfId="0" applyFont="1" applyBorder="1" applyAlignment="1">
      <alignment horizontal="left" vertical="center" wrapText="1"/>
    </xf>
    <xf numFmtId="0" fontId="5" fillId="2" borderId="1" xfId="0" applyFont="1" applyFill="1" applyBorder="1" applyAlignment="1">
      <alignment horizontal="center" vertical="center" wrapText="1"/>
    </xf>
    <xf numFmtId="43" fontId="5" fillId="2" borderId="1" xfId="1" applyFont="1" applyFill="1" applyBorder="1" applyAlignment="1">
      <alignment horizontal="center" vertical="center" wrapText="1"/>
    </xf>
    <xf numFmtId="0" fontId="11" fillId="0" borderId="0" xfId="0" applyFont="1" applyAlignment="1">
      <alignment horizontal="center" vertical="center" wrapText="1"/>
    </xf>
    <xf numFmtId="0" fontId="14" fillId="0" borderId="0" xfId="0" applyFont="1" applyAlignment="1">
      <alignment horizontal="left" vertical="top" wrapText="1"/>
    </xf>
    <xf numFmtId="0" fontId="0" fillId="0" borderId="0" xfId="0" applyAlignment="1">
      <alignment horizontal="left" vertical="top" wrapText="1"/>
    </xf>
    <xf numFmtId="0" fontId="11" fillId="0" borderId="0" xfId="0" applyFont="1" applyAlignment="1">
      <alignment horizontal="center"/>
    </xf>
    <xf numFmtId="0" fontId="2" fillId="0" borderId="7" xfId="0" applyFont="1" applyBorder="1" applyAlignment="1">
      <alignment horizontal="center"/>
    </xf>
    <xf numFmtId="0" fontId="0" fillId="0" borderId="5" xfId="0" applyBorder="1" applyAlignment="1">
      <alignment horizontal="center" vertical="center"/>
    </xf>
    <xf numFmtId="0" fontId="0" fillId="0" borderId="6" xfId="0" applyBorder="1" applyAlignment="1">
      <alignment horizontal="center" vertical="center"/>
    </xf>
    <xf numFmtId="0" fontId="20" fillId="0" borderId="5" xfId="0" applyFont="1" applyBorder="1" applyAlignment="1">
      <alignment vertical="center" wrapText="1"/>
    </xf>
    <xf numFmtId="0" fontId="20" fillId="0" borderId="6" xfId="0" applyFont="1" applyBorder="1" applyAlignment="1">
      <alignment vertical="center" wrapText="1"/>
    </xf>
    <xf numFmtId="0" fontId="11" fillId="0" borderId="7" xfId="0" applyFont="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33618</xdr:colOff>
      <xdr:row>24</xdr:row>
      <xdr:rowOff>134471</xdr:rowOff>
    </xdr:from>
    <xdr:to>
      <xdr:col>11</xdr:col>
      <xdr:colOff>0</xdr:colOff>
      <xdr:row>34</xdr:row>
      <xdr:rowOff>33618</xdr:rowOff>
    </xdr:to>
    <xdr:sp macro="" textlink="">
      <xdr:nvSpPr>
        <xdr:cNvPr id="2" name="TextBox 1">
          <a:extLst>
            <a:ext uri="{FF2B5EF4-FFF2-40B4-BE49-F238E27FC236}">
              <a16:creationId xmlns:a16="http://schemas.microsoft.com/office/drawing/2014/main" id="{56DA89E5-B79D-431D-2C99-2322757CED5C}"/>
            </a:ext>
          </a:extLst>
        </xdr:cNvPr>
        <xdr:cNvSpPr txBox="1"/>
      </xdr:nvSpPr>
      <xdr:spPr>
        <a:xfrm>
          <a:off x="795618" y="12505765"/>
          <a:ext cx="14343530" cy="20282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400">
              <a:latin typeface="+mj-lt"/>
            </a:rPr>
            <a:t>Hướng dẫn nhập cơ sở dữ liệu:</a:t>
          </a:r>
        </a:p>
        <a:p>
          <a:r>
            <a:rPr lang="vi-VN" sz="1400">
              <a:latin typeface="+mj-lt"/>
            </a:rPr>
            <a:t>(1) Tuyến: Nhập tên đường giao thông VD: Đường Lê Duẩn, đường Quốc lộ 9…v.v</a:t>
          </a:r>
        </a:p>
        <a:p>
          <a:r>
            <a:rPr lang="vi-VN" sz="1400">
              <a:latin typeface="+mj-lt"/>
            </a:rPr>
            <a:t>(2) Điểm đầu: Là điểm đầu tuyến đường (lý trình). Trường hợp trên tuyến đường có nhiều loại bề rộng mặt cắt ngang hoặc kết cấu áo đường thì phân theo từng đoạn đường từ đầu tuyến đến cuối tuyến,</a:t>
          </a:r>
        </a:p>
        <a:p>
          <a:r>
            <a:rPr lang="vi-VN" sz="1400">
              <a:latin typeface="+mj-lt"/>
            </a:rPr>
            <a:t>(3) Điểm cuối: Là điểm cuối tuyến đường giao thông (lý trình).</a:t>
          </a:r>
        </a:p>
        <a:p>
          <a:r>
            <a:rPr lang="vi-VN" sz="1400">
              <a:latin typeface="+mj-lt"/>
            </a:rPr>
            <a:t>(4) Chiều dài: Chiều dài tuyến đường; đơn vị Km, làm tròn 02 chữ số thập phân.</a:t>
          </a:r>
        </a:p>
        <a:p>
          <a:r>
            <a:rPr lang="vi-VN" sz="1400">
              <a:latin typeface="+mj-lt"/>
            </a:rPr>
            <a:t>(11) Kết cấu mặt đường: Ghi thông tin kết cấu lớp trên mặt đường (đường đất, bê tông nhựa, láng nhựa,...),</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00B050"/>
  </sheetPr>
  <dimension ref="A1:N23"/>
  <sheetViews>
    <sheetView tabSelected="1" zoomScale="85" zoomScaleNormal="85" workbookViewId="0">
      <selection activeCell="D8" sqref="D8"/>
    </sheetView>
  </sheetViews>
  <sheetFormatPr defaultColWidth="8.88671875" defaultRowHeight="16.5" x14ac:dyDescent="0.3"/>
  <cols>
    <col min="1" max="1" width="5.5546875" style="23" customWidth="1"/>
    <col min="2" max="2" width="33.6640625" style="12" customWidth="1"/>
    <col min="3" max="3" width="18.6640625" style="12" customWidth="1"/>
    <col min="4" max="4" width="22.5546875" style="12" customWidth="1"/>
    <col min="5" max="5" width="8.21875" style="24" customWidth="1"/>
    <col min="6" max="6" width="11.33203125" style="24" customWidth="1"/>
    <col min="7" max="7" width="11.21875" style="24" customWidth="1"/>
    <col min="8" max="8" width="12.6640625" style="24" customWidth="1"/>
    <col min="9" max="9" width="14.6640625" style="24" customWidth="1"/>
    <col min="10" max="10" width="11.21875" style="24" customWidth="1"/>
    <col min="11" max="11" width="13.5546875" style="23" bestFit="1" customWidth="1"/>
    <col min="12" max="12" width="12.5546875" style="23" customWidth="1"/>
    <col min="13" max="16384" width="8.88671875" style="12"/>
  </cols>
  <sheetData>
    <row r="1" spans="1:14" ht="32.25" customHeight="1" x14ac:dyDescent="0.3">
      <c r="A1" s="95" t="s">
        <v>101</v>
      </c>
      <c r="B1" s="95"/>
      <c r="C1" s="95"/>
      <c r="D1" s="95"/>
      <c r="E1" s="95"/>
      <c r="F1" s="95"/>
      <c r="G1" s="95"/>
      <c r="H1" s="95"/>
      <c r="I1" s="95"/>
      <c r="J1" s="95"/>
      <c r="K1" s="95"/>
      <c r="L1" s="95"/>
    </row>
    <row r="2" spans="1:14" ht="42.75" customHeight="1" x14ac:dyDescent="0.3">
      <c r="A2" s="100" t="s">
        <v>0</v>
      </c>
      <c r="B2" s="100" t="s">
        <v>1</v>
      </c>
      <c r="C2" s="100" t="s">
        <v>2</v>
      </c>
      <c r="D2" s="100" t="s">
        <v>3</v>
      </c>
      <c r="E2" s="101" t="s">
        <v>107</v>
      </c>
      <c r="F2" s="81" t="s">
        <v>118</v>
      </c>
      <c r="G2" s="82"/>
      <c r="H2" s="82"/>
      <c r="I2" s="82"/>
      <c r="J2" s="82"/>
      <c r="K2" s="96" t="s">
        <v>4</v>
      </c>
      <c r="L2" s="96" t="s">
        <v>28</v>
      </c>
    </row>
    <row r="3" spans="1:14" ht="45" customHeight="1" x14ac:dyDescent="0.3">
      <c r="A3" s="100"/>
      <c r="B3" s="100"/>
      <c r="C3" s="100"/>
      <c r="D3" s="100"/>
      <c r="E3" s="101"/>
      <c r="F3" s="13" t="s">
        <v>102</v>
      </c>
      <c r="G3" s="13" t="s">
        <v>70</v>
      </c>
      <c r="H3" s="13" t="s">
        <v>106</v>
      </c>
      <c r="I3" s="13" t="s">
        <v>105</v>
      </c>
      <c r="J3" s="13" t="s">
        <v>104</v>
      </c>
      <c r="K3" s="96"/>
      <c r="L3" s="96"/>
    </row>
    <row r="4" spans="1:14" ht="35.25" customHeight="1" x14ac:dyDescent="0.3">
      <c r="A4" s="14" t="s">
        <v>7</v>
      </c>
      <c r="B4" s="83" t="s">
        <v>110</v>
      </c>
      <c r="C4" s="84"/>
      <c r="D4" s="85"/>
      <c r="E4" s="8">
        <f>SUM(E5:E10)</f>
        <v>31.451000000000001</v>
      </c>
      <c r="F4" s="8"/>
      <c r="G4" s="8"/>
      <c r="H4" s="8"/>
      <c r="I4" s="8"/>
      <c r="J4" s="8"/>
      <c r="K4" s="6"/>
      <c r="L4" s="6"/>
    </row>
    <row r="5" spans="1:14" ht="35.25" customHeight="1" x14ac:dyDescent="0.3">
      <c r="A5" s="15">
        <v>1</v>
      </c>
      <c r="B5" s="1" t="s">
        <v>113</v>
      </c>
      <c r="C5" s="87">
        <v>597549</v>
      </c>
      <c r="D5" s="87">
        <v>605000</v>
      </c>
      <c r="E5" s="17">
        <f>(D5-C5)/1000</f>
        <v>7.4509999999999996</v>
      </c>
      <c r="F5" s="2">
        <v>26</v>
      </c>
      <c r="G5" s="2">
        <v>14</v>
      </c>
      <c r="H5" s="2">
        <v>5</v>
      </c>
      <c r="I5" s="2">
        <v>5</v>
      </c>
      <c r="J5" s="2">
        <v>2</v>
      </c>
      <c r="K5" s="15" t="s">
        <v>65</v>
      </c>
      <c r="L5" s="15" t="s">
        <v>64</v>
      </c>
      <c r="M5" s="86"/>
    </row>
    <row r="6" spans="1:14" ht="35.25" customHeight="1" x14ac:dyDescent="0.3">
      <c r="A6" s="15"/>
      <c r="B6" s="1" t="s">
        <v>114</v>
      </c>
      <c r="C6" s="87">
        <v>617000</v>
      </c>
      <c r="D6" s="87">
        <v>641000</v>
      </c>
      <c r="E6" s="17">
        <f>(D6-C6)/1000</f>
        <v>24</v>
      </c>
      <c r="F6" s="2">
        <v>26</v>
      </c>
      <c r="G6" s="2">
        <v>14</v>
      </c>
      <c r="H6" s="2">
        <v>5</v>
      </c>
      <c r="I6" s="2">
        <v>5</v>
      </c>
      <c r="J6" s="2">
        <v>2</v>
      </c>
      <c r="K6" s="15" t="s">
        <v>65</v>
      </c>
      <c r="L6" s="15" t="s">
        <v>64</v>
      </c>
    </row>
    <row r="7" spans="1:14" ht="35.25" customHeight="1" x14ac:dyDescent="0.3">
      <c r="A7" s="15"/>
      <c r="B7" s="1"/>
      <c r="C7" s="88"/>
      <c r="D7" s="88"/>
      <c r="E7" s="17"/>
      <c r="F7" s="2"/>
      <c r="G7" s="2"/>
      <c r="H7" s="2"/>
      <c r="I7" s="2"/>
      <c r="J7" s="2"/>
      <c r="K7" s="15"/>
      <c r="L7" s="15"/>
    </row>
    <row r="8" spans="1:14" ht="35.25" customHeight="1" x14ac:dyDescent="0.3">
      <c r="A8" s="15"/>
      <c r="B8" s="1"/>
      <c r="C8" s="88"/>
      <c r="D8" s="88"/>
      <c r="E8" s="17"/>
      <c r="F8" s="2"/>
      <c r="G8" s="2"/>
      <c r="H8" s="2"/>
      <c r="I8" s="2"/>
      <c r="J8" s="2"/>
      <c r="K8" s="15"/>
      <c r="L8" s="15"/>
    </row>
    <row r="9" spans="1:14" ht="35.25" customHeight="1" x14ac:dyDescent="0.3">
      <c r="A9" s="15"/>
      <c r="B9" s="1"/>
      <c r="C9" s="88"/>
      <c r="D9" s="88"/>
      <c r="E9" s="3"/>
      <c r="F9" s="3"/>
      <c r="G9" s="3"/>
      <c r="H9" s="3"/>
      <c r="I9" s="3"/>
      <c r="J9" s="3"/>
      <c r="K9" s="15"/>
      <c r="L9" s="15"/>
    </row>
    <row r="10" spans="1:14" ht="35.25" customHeight="1" x14ac:dyDescent="0.3">
      <c r="A10" s="15"/>
      <c r="B10" s="1"/>
      <c r="C10" s="88"/>
      <c r="D10" s="88"/>
      <c r="E10" s="17"/>
      <c r="F10" s="2"/>
      <c r="G10" s="2"/>
      <c r="H10" s="2"/>
      <c r="I10" s="2"/>
      <c r="J10" s="2"/>
      <c r="K10" s="15"/>
      <c r="L10" s="15"/>
    </row>
    <row r="11" spans="1:14" ht="35.25" customHeight="1" x14ac:dyDescent="0.3">
      <c r="A11" s="14" t="s">
        <v>9</v>
      </c>
      <c r="B11" s="83" t="s">
        <v>112</v>
      </c>
      <c r="C11" s="84"/>
      <c r="D11" s="84"/>
      <c r="E11" s="84"/>
      <c r="F11" s="12"/>
      <c r="G11" s="12"/>
      <c r="H11" s="12"/>
      <c r="I11" s="12"/>
      <c r="J11" s="12"/>
      <c r="K11" s="12"/>
      <c r="L11" s="85"/>
      <c r="N11" s="12" t="s">
        <v>103</v>
      </c>
    </row>
    <row r="12" spans="1:14" ht="35.25" customHeight="1" x14ac:dyDescent="0.3">
      <c r="A12" s="15"/>
      <c r="B12" s="1"/>
      <c r="C12" s="4"/>
      <c r="D12" s="4"/>
      <c r="E12" s="17"/>
      <c r="F12" s="2"/>
      <c r="G12" s="2"/>
      <c r="H12" s="2"/>
      <c r="I12" s="2"/>
      <c r="J12" s="2"/>
      <c r="K12" s="15"/>
      <c r="L12" s="15"/>
    </row>
    <row r="13" spans="1:14" ht="35.25" customHeight="1" x14ac:dyDescent="0.3">
      <c r="A13" s="14" t="s">
        <v>10</v>
      </c>
      <c r="B13" s="83" t="s">
        <v>111</v>
      </c>
      <c r="C13" s="84"/>
      <c r="D13" s="84"/>
      <c r="E13" s="84"/>
      <c r="F13" s="12"/>
      <c r="G13" s="12"/>
      <c r="H13" s="12"/>
      <c r="I13" s="12"/>
      <c r="J13" s="12"/>
      <c r="K13" s="12"/>
      <c r="L13" s="85"/>
      <c r="N13" s="12" t="s">
        <v>103</v>
      </c>
    </row>
    <row r="14" spans="1:14" ht="35.25" customHeight="1" x14ac:dyDescent="0.3">
      <c r="A14" s="7" t="s">
        <v>108</v>
      </c>
      <c r="B14" s="97" t="s">
        <v>8</v>
      </c>
      <c r="C14" s="98"/>
      <c r="D14" s="99"/>
      <c r="E14" s="8">
        <f>+SUM(E15:E18)</f>
        <v>0</v>
      </c>
      <c r="F14" s="8"/>
      <c r="G14" s="8"/>
      <c r="H14" s="8"/>
      <c r="I14" s="8"/>
      <c r="J14" s="8"/>
      <c r="K14" s="6"/>
      <c r="L14" s="6"/>
    </row>
    <row r="15" spans="1:14" ht="35.25" customHeight="1" x14ac:dyDescent="0.3">
      <c r="A15" s="15">
        <v>1</v>
      </c>
      <c r="B15" s="1" t="s">
        <v>66</v>
      </c>
      <c r="C15" s="5"/>
      <c r="D15" s="18"/>
      <c r="E15" s="2"/>
      <c r="F15" s="2"/>
      <c r="G15" s="2"/>
      <c r="H15" s="2"/>
      <c r="I15" s="2"/>
      <c r="J15" s="2"/>
      <c r="K15" s="15"/>
      <c r="L15" s="15" t="s">
        <v>64</v>
      </c>
    </row>
    <row r="16" spans="1:14" ht="35.25" customHeight="1" x14ac:dyDescent="0.3">
      <c r="A16" s="15">
        <v>2</v>
      </c>
      <c r="B16" s="19" t="s">
        <v>67</v>
      </c>
      <c r="C16" s="5"/>
      <c r="D16" s="5"/>
      <c r="E16" s="2"/>
      <c r="F16" s="2"/>
      <c r="G16" s="2"/>
      <c r="H16" s="2"/>
      <c r="I16" s="2"/>
      <c r="J16" s="2"/>
      <c r="K16" s="15"/>
      <c r="L16" s="15" t="s">
        <v>64</v>
      </c>
    </row>
    <row r="17" spans="1:12" ht="35.25" customHeight="1" x14ac:dyDescent="0.3">
      <c r="A17" s="15">
        <v>3</v>
      </c>
      <c r="B17" s="64" t="s">
        <v>68</v>
      </c>
      <c r="C17" s="65"/>
      <c r="D17" s="66"/>
      <c r="E17" s="2"/>
      <c r="F17" s="2"/>
      <c r="G17" s="2"/>
      <c r="H17" s="2"/>
      <c r="I17" s="2"/>
      <c r="J17" s="2"/>
      <c r="K17" s="15"/>
      <c r="L17" s="15" t="s">
        <v>64</v>
      </c>
    </row>
    <row r="18" spans="1:12" ht="35.25" customHeight="1" x14ac:dyDescent="0.3">
      <c r="A18" s="15"/>
      <c r="B18" s="64" t="s">
        <v>63</v>
      </c>
      <c r="C18" s="65"/>
      <c r="D18" s="66"/>
      <c r="E18" s="2"/>
      <c r="F18" s="2"/>
      <c r="G18" s="2"/>
      <c r="H18" s="2"/>
      <c r="I18" s="2"/>
      <c r="J18" s="2"/>
      <c r="K18" s="15"/>
      <c r="L18" s="15"/>
    </row>
    <row r="19" spans="1:12" s="22" customFormat="1" ht="35.25" customHeight="1" x14ac:dyDescent="0.3">
      <c r="A19" s="20" t="s">
        <v>109</v>
      </c>
      <c r="B19" s="89" t="s">
        <v>69</v>
      </c>
      <c r="C19" s="90"/>
      <c r="D19" s="91"/>
      <c r="E19" s="21">
        <f>+SUM(E20:E22)</f>
        <v>0</v>
      </c>
      <c r="F19" s="21"/>
      <c r="G19" s="21"/>
      <c r="H19" s="21"/>
      <c r="I19" s="21"/>
      <c r="J19" s="21"/>
      <c r="K19" s="20"/>
      <c r="L19" s="20"/>
    </row>
    <row r="20" spans="1:12" ht="35.25" customHeight="1" x14ac:dyDescent="0.3">
      <c r="A20" s="92">
        <v>1</v>
      </c>
      <c r="B20" s="93" t="s">
        <v>25</v>
      </c>
      <c r="C20" s="4"/>
      <c r="D20" s="4"/>
      <c r="E20" s="17"/>
      <c r="F20" s="17"/>
      <c r="G20" s="17"/>
      <c r="H20" s="17"/>
      <c r="I20" s="17"/>
      <c r="J20" s="17"/>
      <c r="K20" s="15"/>
      <c r="L20" s="15"/>
    </row>
    <row r="21" spans="1:12" ht="35.25" customHeight="1" x14ac:dyDescent="0.3">
      <c r="A21" s="92">
        <f>+A20+1</f>
        <v>2</v>
      </c>
      <c r="B21" s="93" t="s">
        <v>26</v>
      </c>
      <c r="C21" s="4"/>
      <c r="D21" s="4"/>
      <c r="E21" s="17"/>
      <c r="F21" s="17"/>
      <c r="G21" s="17"/>
      <c r="H21" s="17"/>
      <c r="I21" s="17"/>
      <c r="J21" s="17"/>
      <c r="K21" s="15"/>
      <c r="L21" s="15"/>
    </row>
    <row r="22" spans="1:12" ht="35.25" customHeight="1" x14ac:dyDescent="0.3">
      <c r="A22" s="15">
        <v>3</v>
      </c>
      <c r="B22" s="4" t="s">
        <v>27</v>
      </c>
      <c r="C22" s="4"/>
      <c r="D22" s="4"/>
      <c r="E22" s="17"/>
      <c r="F22" s="17"/>
      <c r="G22" s="17"/>
      <c r="H22" s="17"/>
      <c r="I22" s="17"/>
      <c r="J22" s="17"/>
      <c r="K22" s="15"/>
      <c r="L22" s="15"/>
    </row>
    <row r="23" spans="1:12" ht="21.75" customHeight="1" x14ac:dyDescent="0.3">
      <c r="A23" s="16"/>
      <c r="B23" s="16" t="s">
        <v>63</v>
      </c>
      <c r="C23" s="4"/>
      <c r="D23" s="4"/>
      <c r="E23" s="16"/>
      <c r="F23" s="16"/>
      <c r="G23" s="16"/>
      <c r="H23" s="16"/>
      <c r="I23" s="16"/>
      <c r="J23" s="16"/>
      <c r="K23" s="16"/>
      <c r="L23" s="16"/>
    </row>
  </sheetData>
  <mergeCells count="9">
    <mergeCell ref="A1:L1"/>
    <mergeCell ref="L2:L3"/>
    <mergeCell ref="K2:K3"/>
    <mergeCell ref="B14:D14"/>
    <mergeCell ref="A2:A3"/>
    <mergeCell ref="B2:B3"/>
    <mergeCell ref="C2:C3"/>
    <mergeCell ref="D2:D3"/>
    <mergeCell ref="E2:E3"/>
  </mergeCells>
  <dataValidations count="1">
    <dataValidation type="list" allowBlank="1" showInputMessage="1" showErrorMessage="1" sqref="K5:K1048576" xr:uid="{00000000-0002-0000-0200-000000000000}">
      <formula1>#REF!</formula1>
    </dataValidation>
  </dataValidations>
  <pageMargins left="0" right="0" top="0.25" bottom="0" header="0.05" footer="0"/>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FF0000"/>
  </sheetPr>
  <dimension ref="A1:I13"/>
  <sheetViews>
    <sheetView workbookViewId="0">
      <pane xSplit="7" ySplit="4" topLeftCell="H5" activePane="bottomRight" state="frozen"/>
      <selection pane="topRight" activeCell="G1" sqref="G1"/>
      <selection pane="bottomLeft" activeCell="A6" sqref="A6"/>
      <selection pane="bottomRight" activeCell="A10" sqref="A10:I10"/>
    </sheetView>
  </sheetViews>
  <sheetFormatPr defaultColWidth="8.88671875" defaultRowHeight="18.75" x14ac:dyDescent="0.3"/>
  <cols>
    <col min="1" max="1" width="4.88671875" style="26" customWidth="1"/>
    <col min="2" max="2" width="18.109375" style="25" customWidth="1"/>
    <col min="3" max="5" width="10.33203125" style="26" customWidth="1"/>
    <col min="6" max="6" width="12.77734375" style="25" customWidth="1"/>
    <col min="7" max="7" width="9.44140625" style="26" customWidth="1"/>
    <col min="8" max="8" width="8.109375" style="26" customWidth="1"/>
    <col min="9" max="9" width="8.77734375" style="25" customWidth="1"/>
    <col min="10" max="16384" width="8.88671875" style="25"/>
  </cols>
  <sheetData>
    <row r="1" spans="1:9" hidden="1" x14ac:dyDescent="0.3"/>
    <row r="2" spans="1:9" ht="38.25" customHeight="1" x14ac:dyDescent="0.3">
      <c r="A2" s="102" t="s">
        <v>41</v>
      </c>
      <c r="B2" s="102"/>
      <c r="C2" s="102"/>
      <c r="D2" s="102"/>
      <c r="E2" s="102"/>
      <c r="F2" s="102"/>
      <c r="G2" s="102"/>
      <c r="H2" s="102"/>
      <c r="I2" s="102"/>
    </row>
    <row r="3" spans="1:9" s="28" customFormat="1" ht="63" customHeight="1" x14ac:dyDescent="0.3">
      <c r="A3" s="27" t="s">
        <v>0</v>
      </c>
      <c r="B3" s="27" t="s">
        <v>11</v>
      </c>
      <c r="C3" s="27" t="s">
        <v>30</v>
      </c>
      <c r="D3" s="27" t="s">
        <v>73</v>
      </c>
      <c r="E3" s="27" t="s">
        <v>71</v>
      </c>
      <c r="F3" s="27" t="s">
        <v>74</v>
      </c>
      <c r="G3" s="27" t="s">
        <v>12</v>
      </c>
      <c r="H3" s="27" t="s">
        <v>13</v>
      </c>
      <c r="I3" s="27" t="s">
        <v>28</v>
      </c>
    </row>
    <row r="4" spans="1:9" s="31" customFormat="1" ht="28.5" customHeight="1" x14ac:dyDescent="0.3">
      <c r="A4" s="38">
        <v>1</v>
      </c>
      <c r="B4" s="29"/>
      <c r="C4" s="30"/>
      <c r="D4" s="38"/>
      <c r="E4" s="38"/>
      <c r="F4" s="32"/>
      <c r="G4" s="38"/>
      <c r="H4" s="38"/>
      <c r="I4" s="29"/>
    </row>
    <row r="5" spans="1:9" s="33" customFormat="1" ht="21.95" customHeight="1" x14ac:dyDescent="0.3">
      <c r="A5" s="39">
        <f>A4+1</f>
        <v>2</v>
      </c>
      <c r="B5" s="32"/>
      <c r="C5" s="30"/>
      <c r="D5" s="39"/>
      <c r="E5" s="39"/>
      <c r="F5" s="32"/>
      <c r="G5" s="39"/>
      <c r="H5" s="39"/>
      <c r="I5" s="32"/>
    </row>
    <row r="6" spans="1:9" s="33" customFormat="1" ht="21.95" customHeight="1" x14ac:dyDescent="0.3">
      <c r="A6" s="39">
        <f t="shared" ref="A6:A7" si="0">A5+1</f>
        <v>3</v>
      </c>
      <c r="B6" s="32"/>
      <c r="C6" s="30"/>
      <c r="D6" s="39"/>
      <c r="E6" s="39"/>
      <c r="F6" s="32"/>
      <c r="G6" s="39"/>
      <c r="H6" s="39"/>
      <c r="I6" s="32"/>
    </row>
    <row r="7" spans="1:9" s="33" customFormat="1" ht="51" customHeight="1" x14ac:dyDescent="0.3">
      <c r="A7" s="39">
        <f t="shared" si="0"/>
        <v>4</v>
      </c>
      <c r="B7" s="32"/>
      <c r="C7" s="30"/>
      <c r="D7" s="39"/>
      <c r="E7" s="39"/>
      <c r="F7" s="32"/>
      <c r="G7" s="39"/>
      <c r="H7" s="39"/>
      <c r="I7" s="32"/>
    </row>
    <row r="8" spans="1:9" s="36" customFormat="1" ht="21.95" customHeight="1" x14ac:dyDescent="0.3">
      <c r="A8" s="37"/>
      <c r="B8" s="34" t="s">
        <v>63</v>
      </c>
      <c r="C8" s="35"/>
      <c r="D8" s="37"/>
      <c r="E8" s="37"/>
      <c r="F8" s="32"/>
      <c r="G8" s="37"/>
      <c r="H8" s="37"/>
      <c r="I8" s="34"/>
    </row>
    <row r="9" spans="1:9" s="40" customFormat="1" ht="21.95" customHeight="1" x14ac:dyDescent="0.3">
      <c r="A9" s="27"/>
      <c r="B9" s="27" t="s">
        <v>29</v>
      </c>
      <c r="C9" s="41">
        <f>SUM(C4:C8)</f>
        <v>0</v>
      </c>
      <c r="D9" s="27">
        <f>SUM(D4:D8)</f>
        <v>0</v>
      </c>
      <c r="E9" s="27">
        <f t="shared" ref="E9:H9" si="1">SUM(E4:E8)</f>
        <v>0</v>
      </c>
      <c r="F9" s="27">
        <f t="shared" si="1"/>
        <v>0</v>
      </c>
      <c r="G9" s="27">
        <f t="shared" si="1"/>
        <v>0</v>
      </c>
      <c r="H9" s="27">
        <f t="shared" si="1"/>
        <v>0</v>
      </c>
      <c r="I9" s="27"/>
    </row>
    <row r="10" spans="1:9" ht="268.5" customHeight="1" x14ac:dyDescent="0.3">
      <c r="A10" s="103" t="s">
        <v>115</v>
      </c>
      <c r="B10" s="104"/>
      <c r="C10" s="104"/>
      <c r="D10" s="104"/>
      <c r="E10" s="104"/>
      <c r="F10" s="104"/>
      <c r="G10" s="104"/>
      <c r="H10" s="104"/>
      <c r="I10" s="104"/>
    </row>
    <row r="11" spans="1:9" ht="21.95" customHeight="1" x14ac:dyDescent="0.3"/>
    <row r="12" spans="1:9" ht="21.95" customHeight="1" x14ac:dyDescent="0.3"/>
    <row r="13" spans="1:9" ht="21.95" customHeight="1" x14ac:dyDescent="0.3"/>
  </sheetData>
  <mergeCells count="2">
    <mergeCell ref="A2:I2"/>
    <mergeCell ref="A10:I10"/>
  </mergeCells>
  <pageMargins left="0.2" right="0.2" top="0" bottom="0.25" header="0.05" footer="0.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00B0F0"/>
  </sheetPr>
  <dimension ref="A1:J32"/>
  <sheetViews>
    <sheetView zoomScale="115" zoomScaleNormal="115" workbookViewId="0">
      <selection activeCell="C5" sqref="C5"/>
    </sheetView>
  </sheetViews>
  <sheetFormatPr defaultRowHeight="18.75" x14ac:dyDescent="0.3"/>
  <cols>
    <col min="1" max="1" width="4.44140625" customWidth="1"/>
    <col min="2" max="2" width="26" customWidth="1"/>
    <col min="3" max="3" width="17.88671875" customWidth="1"/>
    <col min="4" max="4" width="20.44140625" customWidth="1"/>
    <col min="5" max="5" width="12.33203125" customWidth="1"/>
    <col min="6" max="6" width="10.88671875" customWidth="1"/>
    <col min="7" max="7" width="9.33203125" customWidth="1"/>
    <col min="8" max="8" width="11.6640625" customWidth="1"/>
    <col min="9" max="9" width="10.109375" style="11" customWidth="1"/>
    <col min="18" max="18" width="45.109375" customWidth="1"/>
  </cols>
  <sheetData>
    <row r="1" spans="1:10" ht="26.25" customHeight="1" x14ac:dyDescent="0.3">
      <c r="A1" s="105" t="s">
        <v>42</v>
      </c>
      <c r="B1" s="105"/>
      <c r="C1" s="105"/>
      <c r="D1" s="105"/>
      <c r="E1" s="105"/>
      <c r="F1" s="105"/>
      <c r="G1" s="105"/>
      <c r="H1" s="105"/>
      <c r="I1" s="105"/>
    </row>
    <row r="2" spans="1:10" ht="28.5" customHeight="1" x14ac:dyDescent="0.3">
      <c r="A2" s="106" t="s">
        <v>31</v>
      </c>
      <c r="B2" s="106"/>
      <c r="C2" s="106"/>
      <c r="D2" s="106"/>
      <c r="E2" s="106"/>
      <c r="F2" s="106"/>
      <c r="G2" s="106"/>
      <c r="H2" s="106"/>
      <c r="I2" s="106"/>
    </row>
    <row r="3" spans="1:10" s="11" customFormat="1" ht="93.75" x14ac:dyDescent="0.3">
      <c r="A3" s="42" t="s">
        <v>0</v>
      </c>
      <c r="B3" s="42" t="s">
        <v>14</v>
      </c>
      <c r="C3" s="42" t="s">
        <v>17</v>
      </c>
      <c r="D3" s="42" t="s">
        <v>18</v>
      </c>
      <c r="E3" s="27" t="s">
        <v>44</v>
      </c>
      <c r="F3" s="27" t="s">
        <v>49</v>
      </c>
      <c r="G3" s="27" t="s">
        <v>15</v>
      </c>
      <c r="H3" s="27" t="s">
        <v>43</v>
      </c>
      <c r="I3" s="27" t="s">
        <v>16</v>
      </c>
      <c r="J3" s="42" t="s">
        <v>28</v>
      </c>
    </row>
    <row r="4" spans="1:10" ht="37.5" x14ac:dyDescent="0.3">
      <c r="A4" s="59">
        <v>1</v>
      </c>
      <c r="B4" s="61" t="s">
        <v>45</v>
      </c>
      <c r="C4" s="60" t="s">
        <v>46</v>
      </c>
      <c r="D4" s="60" t="s">
        <v>47</v>
      </c>
      <c r="E4" s="60" t="s">
        <v>48</v>
      </c>
      <c r="F4" s="58">
        <v>580</v>
      </c>
      <c r="G4" s="59" t="s">
        <v>33</v>
      </c>
      <c r="H4" s="60" t="s">
        <v>36</v>
      </c>
      <c r="I4" s="59">
        <v>2016</v>
      </c>
      <c r="J4" s="59" t="s">
        <v>64</v>
      </c>
    </row>
    <row r="5" spans="1:10" ht="37.5" x14ac:dyDescent="0.3">
      <c r="A5" s="59">
        <v>2</v>
      </c>
      <c r="B5" s="61" t="s">
        <v>23</v>
      </c>
      <c r="C5" s="60" t="s">
        <v>32</v>
      </c>
      <c r="D5" s="60" t="s">
        <v>24</v>
      </c>
      <c r="E5" s="60" t="s">
        <v>50</v>
      </c>
      <c r="F5" s="58">
        <f>1394.3-F4-86</f>
        <v>728.3</v>
      </c>
      <c r="G5" s="59" t="s">
        <v>35</v>
      </c>
      <c r="H5" s="60" t="s">
        <v>51</v>
      </c>
      <c r="I5" s="59">
        <v>2018</v>
      </c>
      <c r="J5" s="59" t="s">
        <v>64</v>
      </c>
    </row>
    <row r="6" spans="1:10" ht="37.5" x14ac:dyDescent="0.3">
      <c r="A6" s="107">
        <v>3</v>
      </c>
      <c r="B6" s="109" t="s">
        <v>52</v>
      </c>
      <c r="C6" s="60" t="s">
        <v>53</v>
      </c>
      <c r="D6" s="60" t="s">
        <v>54</v>
      </c>
      <c r="E6" s="60" t="s">
        <v>48</v>
      </c>
      <c r="F6" s="58">
        <v>1600</v>
      </c>
      <c r="G6" s="59" t="s">
        <v>35</v>
      </c>
      <c r="H6" s="60" t="s">
        <v>34</v>
      </c>
      <c r="I6" s="59">
        <v>2019</v>
      </c>
      <c r="J6" s="59" t="s">
        <v>64</v>
      </c>
    </row>
    <row r="7" spans="1:10" ht="37.5" x14ac:dyDescent="0.3">
      <c r="A7" s="108"/>
      <c r="B7" s="110"/>
      <c r="C7" s="60" t="s">
        <v>53</v>
      </c>
      <c r="D7" s="60" t="s">
        <v>56</v>
      </c>
      <c r="E7" s="60" t="s">
        <v>55</v>
      </c>
      <c r="F7" s="58">
        <v>500</v>
      </c>
      <c r="G7" s="59" t="s">
        <v>33</v>
      </c>
      <c r="H7" s="60" t="s">
        <v>57</v>
      </c>
      <c r="I7" s="59">
        <v>2022</v>
      </c>
      <c r="J7" s="59" t="s">
        <v>64</v>
      </c>
    </row>
    <row r="8" spans="1:10" ht="37.5" x14ac:dyDescent="0.3">
      <c r="A8" s="59">
        <v>4</v>
      </c>
      <c r="B8" s="63" t="s">
        <v>58</v>
      </c>
      <c r="C8" s="60" t="s">
        <v>59</v>
      </c>
      <c r="D8" s="60" t="s">
        <v>60</v>
      </c>
      <c r="E8" s="60" t="s">
        <v>48</v>
      </c>
      <c r="F8" s="58">
        <v>151</v>
      </c>
      <c r="G8" s="59" t="s">
        <v>33</v>
      </c>
      <c r="H8" s="60" t="s">
        <v>61</v>
      </c>
      <c r="I8" s="59">
        <v>2016</v>
      </c>
      <c r="J8" s="59" t="s">
        <v>64</v>
      </c>
    </row>
    <row r="9" spans="1:10" x14ac:dyDescent="0.3">
      <c r="A9" s="10">
        <v>5</v>
      </c>
      <c r="B9" t="s">
        <v>62</v>
      </c>
      <c r="C9" s="62" t="s">
        <v>63</v>
      </c>
      <c r="D9" s="62" t="s">
        <v>63</v>
      </c>
      <c r="E9" s="62" t="s">
        <v>63</v>
      </c>
      <c r="F9" s="58" t="s">
        <v>63</v>
      </c>
      <c r="G9" s="10" t="s">
        <v>63</v>
      </c>
      <c r="H9" s="60" t="s">
        <v>63</v>
      </c>
      <c r="I9" s="10" t="s">
        <v>63</v>
      </c>
      <c r="J9" s="9"/>
    </row>
    <row r="10" spans="1:10" x14ac:dyDescent="0.3">
      <c r="A10" s="9"/>
      <c r="B10" s="9"/>
      <c r="C10" s="62"/>
      <c r="D10" s="62"/>
      <c r="E10" s="62"/>
      <c r="F10" s="58"/>
      <c r="G10" s="10"/>
      <c r="H10" s="60"/>
      <c r="I10" s="10"/>
      <c r="J10" s="9"/>
    </row>
    <row r="11" spans="1:10" hidden="1" x14ac:dyDescent="0.3">
      <c r="A11" s="9"/>
      <c r="B11" s="9"/>
      <c r="C11" s="9"/>
      <c r="D11" s="9"/>
      <c r="E11" s="9"/>
      <c r="F11" s="9"/>
      <c r="G11" s="9"/>
      <c r="H11" s="9"/>
      <c r="I11" s="10"/>
    </row>
    <row r="12" spans="1:10" hidden="1" x14ac:dyDescent="0.3">
      <c r="A12" s="9" t="s">
        <v>9</v>
      </c>
      <c r="B12" s="9" t="s">
        <v>19</v>
      </c>
      <c r="C12" s="9"/>
      <c r="D12" s="9"/>
      <c r="E12" s="9"/>
      <c r="F12" s="9"/>
      <c r="G12" s="9"/>
      <c r="H12" s="9"/>
      <c r="I12" s="10"/>
    </row>
    <row r="13" spans="1:10" hidden="1" x14ac:dyDescent="0.3">
      <c r="A13" s="9"/>
      <c r="B13" s="9"/>
      <c r="C13" s="9"/>
      <c r="D13" s="9"/>
      <c r="E13" s="9"/>
      <c r="F13" s="9"/>
      <c r="G13" s="9"/>
      <c r="H13" s="9"/>
      <c r="I13" s="10"/>
    </row>
    <row r="14" spans="1:10" hidden="1" x14ac:dyDescent="0.3">
      <c r="A14" s="9"/>
      <c r="B14" s="9"/>
      <c r="C14" s="9"/>
      <c r="D14" s="9"/>
      <c r="E14" s="9"/>
      <c r="F14" s="9"/>
      <c r="G14" s="9"/>
      <c r="H14" s="9"/>
      <c r="I14" s="10"/>
    </row>
    <row r="15" spans="1:10" hidden="1" x14ac:dyDescent="0.3">
      <c r="A15" s="9"/>
      <c r="B15" s="9"/>
      <c r="C15" s="9"/>
      <c r="D15" s="9"/>
      <c r="E15" s="9"/>
      <c r="F15" s="9"/>
      <c r="G15" s="9"/>
      <c r="H15" s="9"/>
      <c r="I15" s="10"/>
    </row>
    <row r="16" spans="1:10" hidden="1" x14ac:dyDescent="0.3">
      <c r="A16" s="9"/>
      <c r="B16" s="9"/>
      <c r="C16" s="9"/>
      <c r="D16" s="9"/>
      <c r="E16" s="9"/>
      <c r="F16" s="9"/>
      <c r="G16" s="9"/>
      <c r="H16" s="9"/>
      <c r="I16" s="10"/>
    </row>
    <row r="17" spans="1:10" hidden="1" x14ac:dyDescent="0.3">
      <c r="A17" s="9"/>
      <c r="B17" s="9"/>
      <c r="C17" s="9"/>
      <c r="D17" s="9"/>
      <c r="E17" s="9"/>
      <c r="F17" s="9"/>
      <c r="G17" s="9"/>
      <c r="H17" s="9"/>
      <c r="I17" s="10"/>
    </row>
    <row r="18" spans="1:10" hidden="1" x14ac:dyDescent="0.3">
      <c r="A18" s="9"/>
      <c r="B18" s="9"/>
      <c r="C18" s="9"/>
      <c r="D18" s="9"/>
      <c r="E18" s="9"/>
      <c r="F18" s="9"/>
      <c r="G18" s="9"/>
      <c r="H18" s="9"/>
      <c r="I18" s="10"/>
    </row>
    <row r="19" spans="1:10" hidden="1" x14ac:dyDescent="0.3">
      <c r="A19" s="9" t="s">
        <v>10</v>
      </c>
      <c r="B19" s="9" t="s">
        <v>20</v>
      </c>
      <c r="C19" s="9"/>
      <c r="D19" s="9"/>
      <c r="E19" s="9"/>
      <c r="F19" s="9"/>
      <c r="G19" s="9"/>
      <c r="H19" s="9"/>
      <c r="I19" s="10"/>
    </row>
    <row r="20" spans="1:10" hidden="1" x14ac:dyDescent="0.3">
      <c r="A20" s="9"/>
      <c r="B20" s="9"/>
      <c r="C20" s="9"/>
      <c r="D20" s="9"/>
      <c r="E20" s="9"/>
      <c r="F20" s="9"/>
      <c r="G20" s="9"/>
      <c r="H20" s="9"/>
      <c r="I20" s="10"/>
    </row>
    <row r="21" spans="1:10" hidden="1" x14ac:dyDescent="0.3">
      <c r="A21" s="9"/>
      <c r="B21" s="9"/>
      <c r="C21" s="9"/>
      <c r="D21" s="9"/>
      <c r="E21" s="9"/>
      <c r="F21" s="9"/>
      <c r="G21" s="9"/>
      <c r="H21" s="9"/>
      <c r="I21" s="10"/>
    </row>
    <row r="22" spans="1:10" hidden="1" x14ac:dyDescent="0.3">
      <c r="A22" s="9"/>
      <c r="B22" s="9"/>
      <c r="C22" s="9"/>
      <c r="D22" s="9"/>
      <c r="E22" s="9"/>
      <c r="F22" s="9"/>
      <c r="G22" s="9"/>
      <c r="H22" s="9"/>
      <c r="I22" s="10"/>
    </row>
    <row r="23" spans="1:10" hidden="1" x14ac:dyDescent="0.3">
      <c r="A23" s="9"/>
      <c r="B23" s="9"/>
      <c r="C23" s="9"/>
      <c r="D23" s="9"/>
      <c r="E23" s="9"/>
      <c r="F23" s="9"/>
      <c r="G23" s="9"/>
      <c r="H23" s="9"/>
      <c r="I23" s="10"/>
    </row>
    <row r="24" spans="1:10" hidden="1" x14ac:dyDescent="0.3">
      <c r="A24" s="9"/>
      <c r="B24" s="9"/>
      <c r="C24" s="9"/>
      <c r="D24" s="9"/>
      <c r="E24" s="9"/>
      <c r="F24" s="9"/>
      <c r="G24" s="9"/>
      <c r="H24" s="9"/>
      <c r="I24" s="10"/>
    </row>
    <row r="25" spans="1:10" hidden="1" x14ac:dyDescent="0.3">
      <c r="A25" s="9"/>
      <c r="B25" s="9"/>
      <c r="C25" s="9"/>
      <c r="D25" s="9"/>
      <c r="E25" s="9"/>
      <c r="F25" s="9"/>
      <c r="G25" s="9"/>
      <c r="H25" s="9"/>
      <c r="I25" s="10"/>
    </row>
    <row r="26" spans="1:10" hidden="1" x14ac:dyDescent="0.3">
      <c r="A26" s="9"/>
      <c r="B26" s="9"/>
      <c r="C26" s="9"/>
      <c r="D26" s="9"/>
      <c r="E26" s="9"/>
      <c r="F26" s="9"/>
      <c r="G26" s="9"/>
      <c r="H26" s="9"/>
      <c r="I26" s="10"/>
    </row>
    <row r="27" spans="1:10" hidden="1" x14ac:dyDescent="0.3">
      <c r="A27" s="9"/>
      <c r="B27" s="9"/>
      <c r="C27" s="9"/>
      <c r="D27" s="9"/>
      <c r="E27" s="9"/>
      <c r="F27" s="9"/>
      <c r="G27" s="9"/>
      <c r="H27" s="9"/>
      <c r="I27" s="10"/>
    </row>
    <row r="28" spans="1:10" hidden="1" x14ac:dyDescent="0.3">
      <c r="A28" s="9"/>
      <c r="B28" s="9"/>
      <c r="C28" s="9"/>
      <c r="D28" s="9"/>
      <c r="E28" s="9"/>
      <c r="F28" s="9"/>
      <c r="G28" s="9"/>
      <c r="H28" s="9"/>
      <c r="I28" s="10"/>
    </row>
    <row r="29" spans="1:10" hidden="1" x14ac:dyDescent="0.3">
      <c r="A29" s="9"/>
      <c r="B29" s="9"/>
      <c r="C29" s="9"/>
      <c r="D29" s="9"/>
      <c r="E29" s="9"/>
      <c r="F29" s="9"/>
      <c r="G29" s="9"/>
      <c r="H29" s="9"/>
      <c r="I29" s="10"/>
    </row>
    <row r="30" spans="1:10" hidden="1" x14ac:dyDescent="0.3">
      <c r="A30" s="9"/>
      <c r="B30" s="9"/>
      <c r="C30" s="9"/>
      <c r="D30" s="9"/>
      <c r="E30" s="9"/>
      <c r="F30" s="9"/>
      <c r="G30" s="9"/>
      <c r="H30" s="9"/>
      <c r="I30" s="10"/>
    </row>
    <row r="32" spans="1:10" ht="333.75" customHeight="1" x14ac:dyDescent="0.3">
      <c r="B32" s="103" t="s">
        <v>116</v>
      </c>
      <c r="C32" s="104"/>
      <c r="D32" s="104"/>
      <c r="E32" s="104"/>
      <c r="F32" s="104"/>
      <c r="G32" s="104"/>
      <c r="H32" s="104"/>
      <c r="I32" s="104"/>
      <c r="J32" s="104"/>
    </row>
  </sheetData>
  <mergeCells count="5">
    <mergeCell ref="A1:I1"/>
    <mergeCell ref="A2:I2"/>
    <mergeCell ref="B32:J32"/>
    <mergeCell ref="A6:A7"/>
    <mergeCell ref="B6:B7"/>
  </mergeCells>
  <pageMargins left="0" right="0" top="0.25" bottom="0" header="0.05" footer="0.05"/>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FFFF00"/>
  </sheetPr>
  <dimension ref="A1:H9"/>
  <sheetViews>
    <sheetView workbookViewId="0">
      <pane ySplit="1" topLeftCell="A2" activePane="bottomLeft" state="frozen"/>
      <selection pane="bottomLeft" activeCell="A9" sqref="A9:H9"/>
    </sheetView>
  </sheetViews>
  <sheetFormatPr defaultRowHeight="18.75" x14ac:dyDescent="0.3"/>
  <cols>
    <col min="1" max="1" width="4.88671875" style="11" bestFit="1" customWidth="1"/>
    <col min="2" max="2" width="19.21875" customWidth="1"/>
    <col min="3" max="3" width="21.109375" customWidth="1"/>
    <col min="4" max="4" width="17.77734375" customWidth="1"/>
    <col min="5" max="5" width="10" style="11" customWidth="1"/>
    <col min="6" max="6" width="9.6640625" style="11" customWidth="1"/>
    <col min="7" max="7" width="17.5546875" style="46" customWidth="1"/>
    <col min="8" max="8" width="18.44140625" style="50" customWidth="1"/>
  </cols>
  <sheetData>
    <row r="1" spans="1:8" ht="25.5" customHeight="1" x14ac:dyDescent="0.3">
      <c r="A1" s="102" t="s">
        <v>72</v>
      </c>
      <c r="B1" s="102"/>
      <c r="C1" s="102"/>
      <c r="D1" s="102"/>
      <c r="E1" s="102"/>
      <c r="F1" s="102"/>
      <c r="G1" s="102"/>
      <c r="H1" s="102"/>
    </row>
    <row r="2" spans="1:8" s="40" customFormat="1" ht="45.75" customHeight="1" x14ac:dyDescent="0.3">
      <c r="A2" s="27" t="s">
        <v>0</v>
      </c>
      <c r="B2" s="27" t="s">
        <v>14</v>
      </c>
      <c r="C2" s="27" t="s">
        <v>17</v>
      </c>
      <c r="D2" s="27" t="s">
        <v>18</v>
      </c>
      <c r="E2" s="27" t="s">
        <v>89</v>
      </c>
      <c r="F2" s="27" t="s">
        <v>15</v>
      </c>
      <c r="G2" s="27" t="s">
        <v>21</v>
      </c>
      <c r="H2" s="51" t="s">
        <v>28</v>
      </c>
    </row>
    <row r="3" spans="1:8" ht="57.75" customHeight="1" x14ac:dyDescent="0.3">
      <c r="A3" s="43">
        <v>1</v>
      </c>
      <c r="B3" s="57" t="e">
        <f>#REF!</f>
        <v>#REF!</v>
      </c>
      <c r="C3" s="67" t="s">
        <v>5</v>
      </c>
      <c r="D3" s="67" t="s">
        <v>37</v>
      </c>
      <c r="E3" s="68">
        <v>710</v>
      </c>
      <c r="F3" s="68" t="s">
        <v>35</v>
      </c>
      <c r="G3" s="69" t="s">
        <v>38</v>
      </c>
      <c r="H3" s="70" t="s">
        <v>64</v>
      </c>
    </row>
    <row r="4" spans="1:8" ht="37.5" x14ac:dyDescent="0.3">
      <c r="A4" s="10">
        <f>A3+1</f>
        <v>2</v>
      </c>
      <c r="B4" s="57" t="s">
        <v>22</v>
      </c>
      <c r="C4" s="5" t="s">
        <v>47</v>
      </c>
      <c r="D4" s="5" t="s">
        <v>76</v>
      </c>
      <c r="E4" s="10">
        <v>560</v>
      </c>
      <c r="F4" s="43" t="s">
        <v>33</v>
      </c>
      <c r="G4" s="45" t="s">
        <v>77</v>
      </c>
      <c r="H4" s="70" t="s">
        <v>64</v>
      </c>
    </row>
    <row r="5" spans="1:8" ht="56.25" x14ac:dyDescent="0.3">
      <c r="A5" s="10">
        <f t="shared" ref="A5" si="0">A4+1</f>
        <v>3</v>
      </c>
      <c r="B5" s="57" t="e">
        <f>#REF!</f>
        <v>#REF!</v>
      </c>
      <c r="C5" s="5" t="s">
        <v>6</v>
      </c>
      <c r="D5" s="5" t="s">
        <v>23</v>
      </c>
      <c r="E5" s="10">
        <v>100</v>
      </c>
      <c r="F5" s="43" t="s">
        <v>33</v>
      </c>
      <c r="G5" s="44" t="s">
        <v>39</v>
      </c>
      <c r="H5" s="70" t="s">
        <v>64</v>
      </c>
    </row>
    <row r="6" spans="1:8" x14ac:dyDescent="0.3">
      <c r="A6" s="10">
        <v>4</v>
      </c>
      <c r="B6" s="57" t="s">
        <v>63</v>
      </c>
      <c r="C6" s="5" t="s">
        <v>63</v>
      </c>
      <c r="D6" s="5" t="s">
        <v>63</v>
      </c>
      <c r="E6" s="10" t="s">
        <v>63</v>
      </c>
      <c r="F6" s="43" t="s">
        <v>63</v>
      </c>
      <c r="G6" s="47" t="s">
        <v>63</v>
      </c>
      <c r="H6" s="48"/>
    </row>
    <row r="7" spans="1:8" x14ac:dyDescent="0.3">
      <c r="A7" s="10" t="s">
        <v>63</v>
      </c>
      <c r="B7" s="57"/>
      <c r="C7" s="5"/>
      <c r="D7" s="5"/>
      <c r="E7" s="56"/>
      <c r="F7" s="43"/>
      <c r="G7" s="44"/>
    </row>
    <row r="8" spans="1:8" s="49" customFormat="1" ht="19.5" x14ac:dyDescent="0.35">
      <c r="A8" s="52"/>
      <c r="B8" s="52"/>
      <c r="C8" s="52"/>
      <c r="D8" s="53" t="s">
        <v>40</v>
      </c>
      <c r="E8" s="52">
        <f>SUM(E3:E7)</f>
        <v>1370</v>
      </c>
      <c r="F8" s="52"/>
      <c r="G8" s="54"/>
      <c r="H8" s="55"/>
    </row>
    <row r="9" spans="1:8" ht="244.5" customHeight="1" x14ac:dyDescent="0.3">
      <c r="A9" s="103" t="s">
        <v>117</v>
      </c>
      <c r="B9" s="104"/>
      <c r="C9" s="104"/>
      <c r="D9" s="104"/>
      <c r="E9" s="104"/>
      <c r="F9" s="104"/>
      <c r="G9" s="104"/>
      <c r="H9" s="104"/>
    </row>
  </sheetData>
  <mergeCells count="2">
    <mergeCell ref="A1:H1"/>
    <mergeCell ref="A9:H9"/>
  </mergeCells>
  <pageMargins left="0.2" right="0.2" top="0.25" bottom="0.25" header="0.05" footer="0.05"/>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FF00"/>
  </sheetPr>
  <dimension ref="A1:H7"/>
  <sheetViews>
    <sheetView workbookViewId="0">
      <pane ySplit="1" topLeftCell="A2" activePane="bottomLeft" state="frozen"/>
      <selection pane="bottomLeft" activeCell="A7" sqref="A7:H7"/>
    </sheetView>
  </sheetViews>
  <sheetFormatPr defaultRowHeight="18.75" x14ac:dyDescent="0.3"/>
  <cols>
    <col min="1" max="1" width="4.88671875" style="11" bestFit="1" customWidth="1"/>
    <col min="2" max="2" width="19.21875" customWidth="1"/>
    <col min="3" max="3" width="40.33203125" customWidth="1"/>
    <col min="4" max="4" width="18.21875" customWidth="1"/>
    <col min="5" max="5" width="11.44140625" style="11" customWidth="1"/>
    <col min="6" max="6" width="9.6640625" style="11" customWidth="1"/>
    <col min="7" max="7" width="17.5546875" style="46" customWidth="1"/>
    <col min="8" max="8" width="18.44140625" style="50" customWidth="1"/>
  </cols>
  <sheetData>
    <row r="1" spans="1:8" ht="25.5" customHeight="1" x14ac:dyDescent="0.3">
      <c r="A1" s="102" t="s">
        <v>128</v>
      </c>
      <c r="B1" s="102"/>
      <c r="C1" s="102"/>
      <c r="D1" s="102"/>
      <c r="E1" s="102"/>
      <c r="F1" s="102"/>
      <c r="G1" s="102"/>
      <c r="H1" s="102"/>
    </row>
    <row r="2" spans="1:8" s="40" customFormat="1" ht="57.75" customHeight="1" x14ac:dyDescent="0.3">
      <c r="A2" s="27" t="s">
        <v>0</v>
      </c>
      <c r="B2" s="27" t="s">
        <v>83</v>
      </c>
      <c r="C2" s="27" t="s">
        <v>75</v>
      </c>
      <c r="D2" s="27" t="s">
        <v>81</v>
      </c>
      <c r="E2" s="27" t="s">
        <v>82</v>
      </c>
      <c r="F2" s="27" t="s">
        <v>89</v>
      </c>
      <c r="G2" s="27" t="s">
        <v>21</v>
      </c>
      <c r="H2" s="51" t="s">
        <v>28</v>
      </c>
    </row>
    <row r="3" spans="1:8" ht="57.75" customHeight="1" x14ac:dyDescent="0.3">
      <c r="A3" s="68">
        <v>1</v>
      </c>
      <c r="B3" s="57" t="s">
        <v>79</v>
      </c>
      <c r="C3" s="67" t="s">
        <v>80</v>
      </c>
      <c r="D3" s="73">
        <v>23000</v>
      </c>
      <c r="E3" s="74">
        <v>11000</v>
      </c>
      <c r="F3" s="68">
        <v>423</v>
      </c>
      <c r="G3" s="69" t="s">
        <v>38</v>
      </c>
      <c r="H3" s="70" t="s">
        <v>64</v>
      </c>
    </row>
    <row r="4" spans="1:8" ht="37.5" x14ac:dyDescent="0.3">
      <c r="A4" s="59">
        <f>A3+1</f>
        <v>2</v>
      </c>
      <c r="B4" s="57" t="s">
        <v>84</v>
      </c>
      <c r="C4" s="5" t="s">
        <v>85</v>
      </c>
      <c r="D4" s="71">
        <v>53000</v>
      </c>
      <c r="E4" s="75">
        <v>23000</v>
      </c>
      <c r="F4" s="68">
        <v>895</v>
      </c>
      <c r="G4" s="76" t="s">
        <v>86</v>
      </c>
      <c r="H4" s="70" t="s">
        <v>64</v>
      </c>
    </row>
    <row r="5" spans="1:8" x14ac:dyDescent="0.3">
      <c r="A5" s="10">
        <f t="shared" ref="A5:A6" si="0">A4+1</f>
        <v>3</v>
      </c>
      <c r="B5" s="57"/>
      <c r="C5" s="5"/>
      <c r="D5" s="71"/>
      <c r="E5" s="72"/>
      <c r="F5" s="43"/>
      <c r="G5" s="45"/>
      <c r="H5" s="48"/>
    </row>
    <row r="6" spans="1:8" x14ac:dyDescent="0.3">
      <c r="A6" s="10">
        <f t="shared" si="0"/>
        <v>4</v>
      </c>
      <c r="B6" s="57"/>
      <c r="C6" s="5"/>
      <c r="D6" s="71"/>
      <c r="E6" s="72"/>
      <c r="F6" s="43"/>
      <c r="G6" s="47"/>
      <c r="H6" s="48"/>
    </row>
    <row r="7" spans="1:8" ht="278.25" customHeight="1" x14ac:dyDescent="0.3">
      <c r="A7" s="103" t="s">
        <v>78</v>
      </c>
      <c r="B7" s="104"/>
      <c r="C7" s="104"/>
      <c r="D7" s="104"/>
      <c r="E7" s="104"/>
      <c r="F7" s="104"/>
      <c r="G7" s="104"/>
      <c r="H7" s="104"/>
    </row>
  </sheetData>
  <mergeCells count="2">
    <mergeCell ref="A1:H1"/>
    <mergeCell ref="A7:H7"/>
  </mergeCells>
  <pageMargins left="0.2" right="0.2" top="0.25" bottom="0.25" header="0.05" footer="0.05"/>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rgb="FFFFFF00"/>
  </sheetPr>
  <dimension ref="A1:K7"/>
  <sheetViews>
    <sheetView workbookViewId="0">
      <pane ySplit="1" topLeftCell="A2" activePane="bottomLeft" state="frozen"/>
      <selection pane="bottomLeft" activeCell="D3" sqref="D3"/>
    </sheetView>
  </sheetViews>
  <sheetFormatPr defaultRowHeight="18.75" x14ac:dyDescent="0.3"/>
  <cols>
    <col min="1" max="1" width="4.88671875" style="11" bestFit="1" customWidth="1"/>
    <col min="2" max="3" width="19.21875" customWidth="1"/>
    <col min="4" max="4" width="27.5546875" customWidth="1"/>
    <col min="5" max="5" width="18.21875" customWidth="1"/>
    <col min="6" max="6" width="22.33203125" style="11" customWidth="1"/>
    <col min="7" max="7" width="9.6640625" style="11" customWidth="1"/>
    <col min="8" max="8" width="17.5546875" style="46" customWidth="1"/>
    <col min="9" max="9" width="18.44140625" style="50" customWidth="1"/>
  </cols>
  <sheetData>
    <row r="1" spans="1:11" ht="48.75" customHeight="1" x14ac:dyDescent="0.3">
      <c r="A1" s="111" t="s">
        <v>90</v>
      </c>
      <c r="B1" s="111"/>
      <c r="C1" s="111"/>
      <c r="D1" s="111"/>
      <c r="E1" s="111"/>
      <c r="F1" s="111"/>
      <c r="G1" s="111"/>
      <c r="H1" s="77"/>
      <c r="I1" s="77"/>
    </row>
    <row r="2" spans="1:11" s="40" customFormat="1" ht="57.75" customHeight="1" x14ac:dyDescent="0.3">
      <c r="A2" s="27" t="s">
        <v>0</v>
      </c>
      <c r="B2" s="27" t="s">
        <v>11</v>
      </c>
      <c r="C2" s="27" t="s">
        <v>91</v>
      </c>
      <c r="D2" s="27" t="s">
        <v>100</v>
      </c>
      <c r="E2" s="27" t="s">
        <v>87</v>
      </c>
      <c r="F2" s="27" t="s">
        <v>88</v>
      </c>
      <c r="G2" s="51" t="s">
        <v>28</v>
      </c>
    </row>
    <row r="3" spans="1:11" ht="57.75" customHeight="1" x14ac:dyDescent="0.3">
      <c r="A3" s="68">
        <v>1</v>
      </c>
      <c r="B3" s="57" t="s">
        <v>92</v>
      </c>
      <c r="C3" s="57" t="s">
        <v>93</v>
      </c>
      <c r="D3" s="68">
        <v>56</v>
      </c>
      <c r="E3" s="74" t="s">
        <v>94</v>
      </c>
      <c r="F3" s="78" t="s">
        <v>95</v>
      </c>
      <c r="G3" s="70" t="s">
        <v>64</v>
      </c>
      <c r="H3"/>
      <c r="I3"/>
    </row>
    <row r="4" spans="1:11" ht="37.5" x14ac:dyDescent="0.3">
      <c r="A4" s="59">
        <v>2</v>
      </c>
      <c r="B4" s="57" t="s">
        <v>96</v>
      </c>
      <c r="C4" s="57" t="s">
        <v>97</v>
      </c>
      <c r="D4" s="79">
        <v>112</v>
      </c>
      <c r="E4" s="80" t="s">
        <v>98</v>
      </c>
      <c r="F4" s="78" t="s">
        <v>99</v>
      </c>
      <c r="G4" s="70" t="s">
        <v>64</v>
      </c>
      <c r="H4"/>
      <c r="I4"/>
    </row>
    <row r="5" spans="1:11" x14ac:dyDescent="0.3">
      <c r="A5" s="10">
        <f t="shared" ref="A5:A6" si="0">A4+1</f>
        <v>3</v>
      </c>
      <c r="B5" s="57" t="s">
        <v>62</v>
      </c>
      <c r="C5" s="57"/>
      <c r="D5" s="79"/>
      <c r="E5" s="80"/>
      <c r="F5" s="72"/>
      <c r="G5" s="48"/>
      <c r="H5"/>
      <c r="I5"/>
    </row>
    <row r="6" spans="1:11" x14ac:dyDescent="0.3">
      <c r="A6" s="10">
        <f t="shared" si="0"/>
        <v>4</v>
      </c>
      <c r="B6" s="57"/>
      <c r="C6" s="57"/>
      <c r="D6" s="79"/>
      <c r="E6" s="80"/>
      <c r="F6" s="72"/>
      <c r="G6" s="48"/>
      <c r="H6"/>
      <c r="I6"/>
    </row>
    <row r="7" spans="1:11" ht="278.25" customHeight="1" x14ac:dyDescent="0.3">
      <c r="A7" s="103" t="s">
        <v>130</v>
      </c>
      <c r="B7" s="104"/>
      <c r="C7" s="104"/>
      <c r="D7" s="104"/>
      <c r="E7" s="104"/>
      <c r="F7" s="104"/>
      <c r="G7" s="104"/>
      <c r="H7" s="104"/>
      <c r="I7" s="104"/>
      <c r="J7" s="104"/>
      <c r="K7" s="104"/>
    </row>
  </sheetData>
  <mergeCells count="2">
    <mergeCell ref="A7:K7"/>
    <mergeCell ref="A1:G1"/>
  </mergeCells>
  <pageMargins left="0.2" right="0.2" top="0.25" bottom="0.25" header="0.05" footer="0.05"/>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FFFF00"/>
  </sheetPr>
  <dimension ref="A1:G7"/>
  <sheetViews>
    <sheetView workbookViewId="0">
      <pane ySplit="1" topLeftCell="A2" activePane="bottomLeft" state="frozen"/>
      <selection pane="bottomLeft" activeCell="J7" sqref="J7"/>
    </sheetView>
  </sheetViews>
  <sheetFormatPr defaultRowHeight="18.75" x14ac:dyDescent="0.3"/>
  <cols>
    <col min="1" max="1" width="4.88671875" style="11" bestFit="1" customWidth="1"/>
    <col min="2" max="2" width="19.21875" customWidth="1"/>
    <col min="3" max="3" width="40.33203125" customWidth="1"/>
    <col min="4" max="4" width="18.21875" customWidth="1"/>
    <col min="5" max="6" width="11.44140625" style="11" customWidth="1"/>
    <col min="7" max="7" width="18.44140625" style="50" customWidth="1"/>
  </cols>
  <sheetData>
    <row r="1" spans="1:7" ht="25.5" customHeight="1" x14ac:dyDescent="0.3">
      <c r="A1" s="102" t="s">
        <v>129</v>
      </c>
      <c r="B1" s="102"/>
      <c r="C1" s="102"/>
      <c r="D1" s="102"/>
      <c r="E1" s="102"/>
      <c r="F1" s="102"/>
      <c r="G1" s="102"/>
    </row>
    <row r="2" spans="1:7" s="40" customFormat="1" ht="57.75" customHeight="1" x14ac:dyDescent="0.3">
      <c r="A2" s="27" t="s">
        <v>0</v>
      </c>
      <c r="B2" s="27" t="s">
        <v>119</v>
      </c>
      <c r="C2" s="27" t="s">
        <v>120</v>
      </c>
      <c r="D2" s="27" t="s">
        <v>81</v>
      </c>
      <c r="E2" s="27" t="s">
        <v>122</v>
      </c>
      <c r="F2" s="27" t="s">
        <v>123</v>
      </c>
      <c r="G2" s="51" t="s">
        <v>28</v>
      </c>
    </row>
    <row r="3" spans="1:7" ht="57.75" customHeight="1" x14ac:dyDescent="0.3">
      <c r="A3" s="68">
        <v>1</v>
      </c>
      <c r="B3" s="57" t="s">
        <v>121</v>
      </c>
      <c r="C3" s="67" t="s">
        <v>80</v>
      </c>
      <c r="D3" s="73">
        <v>23000</v>
      </c>
      <c r="E3" s="74">
        <v>11000</v>
      </c>
      <c r="F3" s="74" t="s">
        <v>124</v>
      </c>
      <c r="G3" s="70" t="s">
        <v>64</v>
      </c>
    </row>
    <row r="4" spans="1:7" ht="33" x14ac:dyDescent="0.3">
      <c r="A4" s="59">
        <f>A3+1</f>
        <v>2</v>
      </c>
      <c r="B4" s="57" t="s">
        <v>126</v>
      </c>
      <c r="C4" s="5" t="s">
        <v>85</v>
      </c>
      <c r="D4" s="94">
        <v>53000</v>
      </c>
      <c r="E4" s="75">
        <v>23000</v>
      </c>
      <c r="F4" s="75" t="s">
        <v>125</v>
      </c>
      <c r="G4" s="70" t="s">
        <v>64</v>
      </c>
    </row>
    <row r="5" spans="1:7" x14ac:dyDescent="0.3">
      <c r="A5" s="10">
        <f t="shared" ref="A5:A6" si="0">A4+1</f>
        <v>3</v>
      </c>
      <c r="B5" s="57"/>
      <c r="C5" s="5"/>
      <c r="D5" s="71"/>
      <c r="E5" s="72"/>
      <c r="F5" s="72"/>
      <c r="G5" s="48"/>
    </row>
    <row r="6" spans="1:7" x14ac:dyDescent="0.3">
      <c r="A6" s="10">
        <f t="shared" si="0"/>
        <v>4</v>
      </c>
      <c r="B6" s="57"/>
      <c r="C6" s="5"/>
      <c r="D6" s="71"/>
      <c r="E6" s="72"/>
      <c r="F6" s="72"/>
      <c r="G6" s="48"/>
    </row>
    <row r="7" spans="1:7" ht="278.25" customHeight="1" x14ac:dyDescent="0.3">
      <c r="A7" s="103" t="s">
        <v>127</v>
      </c>
      <c r="B7" s="104"/>
      <c r="C7" s="104"/>
      <c r="D7" s="104"/>
      <c r="E7" s="104"/>
      <c r="F7" s="104"/>
      <c r="G7" s="104"/>
    </row>
  </sheetData>
  <mergeCells count="2">
    <mergeCell ref="A1:G1"/>
    <mergeCell ref="A7:G7"/>
  </mergeCells>
  <pageMargins left="0.2" right="0.2" top="0.25" bottom="0.25" header="0.05" footer="0.05"/>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Đường GT</vt:lpstr>
      <vt:lpstr>Điện chiếu sáng</vt:lpstr>
      <vt:lpstr>Thoát nước mưa và thải</vt:lpstr>
      <vt:lpstr>Cây xanh</vt:lpstr>
      <vt:lpstr>Công viên</vt:lpstr>
      <vt:lpstr>Cấp nước</vt:lpstr>
      <vt:lpstr>Bãi đổ xe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Binh Tran Van</cp:lastModifiedBy>
  <cp:lastPrinted>2025-09-05T09:55:31Z</cp:lastPrinted>
  <dcterms:created xsi:type="dcterms:W3CDTF">2025-06-06T00:58:37Z</dcterms:created>
  <dcterms:modified xsi:type="dcterms:W3CDTF">2026-06-05T09:02:07Z</dcterms:modified>
</cp:coreProperties>
</file>